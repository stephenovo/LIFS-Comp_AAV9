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90e0071cd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430b12c7219489f"/>
    <x:sheet xmlns:r="http://schemas.openxmlformats.org/officeDocument/2006/relationships" name="Candidate Panel" sheetId="2" r:id="R35c79b4382654001"/>
    <x:sheet xmlns:r="http://schemas.openxmlformats.org/officeDocument/2006/relationships" name="Result Entry" sheetId="3" r:id="R8772c3d206c441f3"/>
    <x:sheet xmlns:r="http://schemas.openxmlformats.org/officeDocument/2006/relationships" name="Decision Log" sheetId="4" r:id="Rabe87022997a4988"/>
    <x:sheet xmlns:r="http://schemas.openxmlformats.org/officeDocument/2006/relationships" name="Data Dictionary" sheetId="5" r:id="R52979fbd55a94a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yyyy-mm-dd"/>
  </x:numFmts>
  <x:fonts count="7">
    <x:font>
      <x:sz val="11"/>
      <x:name val="Carlito"/>
    </x:font>
    <x:font>
      <x:b/>
      <x:sz val="14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sz val="10"/>
      <x:color rgb="FF1F2933"/>
      <x:name val="Arial"/>
    </x:font>
    <x:font>
      <x:sz val="9"/>
      <x:color rgb="FF5B657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35">
    <x:border/>
    <x:border>
      <x:bottom style="thin">
        <x:color rgb="FFAAB7C4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right style="thin">
        <x:color rgb="FFD5DCE3"/>
      </x:right>
      <x:bottom style="thin">
        <x:color rgb="FFD5DCE3"/>
      </x:bottom>
    </x:border>
    <x:border>
      <x:left style="thin">
        <x:color rgb="FFD5DCE3"/>
      </x:left>
      <x:bottom style="thin">
        <x:color rgb="FFD5DCE3"/>
      </x:bottom>
    </x:border>
    <x:border>
      <x:right style="thin">
        <x:color rgb="FFD5DCE3"/>
      </x:right>
      <x:top style="thin">
        <x:color rgb="FFD5DCE3"/>
      </x:top>
      <x:bottom style="thin">
        <x:color rgb="FFD5DCE3"/>
      </x:bottom>
    </x:border>
    <x:border>
      <x:left style="thin">
        <x:color rgb="FFD5DCE3"/>
      </x:left>
      <x:top style="thin">
        <x:color rgb="FFD5DCE3"/>
      </x:top>
      <x:bottom style="thin">
        <x:color rgb="FFD5DCE3"/>
      </x:bottom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  <x:top style="thin">
        <x:color rgb="FFD5DCE3"/>
      </x:top>
    </x:border>
    <x:border>
      <x:left style="thin">
        <x:color rgb="FFFFFFFF"/>
      </x:left>
      <x:right style="thin">
        <x:color rgb="FFFFFFFF"/>
      </x:right>
    </x:border>
    <x:border>
      <x:left style="thin">
        <x:color rgb="FFD5DCE3"/>
      </x:left>
      <x:right style="thin">
        <x:color rgb="FFD5DCE3"/>
      </x:right>
      <x:bottom style="thin">
        <x:color rgb="FFD5DCE3"/>
      </x:bottom>
    </x:border>
    <x:border>
      <x:left style="thin">
        <x:color rgb="FFD5DCE3"/>
      </x:left>
      <x:right style="thin">
        <x:color rgb="FFD5DCE3"/>
      </x:right>
      <x:top style="thin">
        <x:color rgb="FFD5DCE3"/>
      </x:top>
      <x:bottom style="thin">
        <x:color rgb="FFD5DCE3"/>
      </x:bottom>
    </x:border>
    <x:border>
      <x:left style="thin">
        <x:color rgb="FFD5DCE3"/>
      </x:left>
      <x:right style="thin">
        <x:color rgb="FFD5DCE3"/>
      </x:right>
      <x:top style="thin">
        <x:color rgb="FFD5DCE3"/>
      </x:top>
    </x:border>
    <x:border>
      <x:right style="thin">
        <x:color rgb="FFE2E7EC"/>
      </x:right>
      <x:bottom style="thin">
        <x:color rgb="FFE2E7EC"/>
      </x:bottom>
    </x:border>
    <x:border>
      <x:left style="thin">
        <x:color rgb="FFE2E7EC"/>
      </x:left>
      <x:right style="thin">
        <x:color rgb="FFE2E7EC"/>
      </x:right>
      <x:bottom style="thin">
        <x:color rgb="FFE2E7EC"/>
      </x:bottom>
    </x:border>
    <x:border>
      <x:left style="thin">
        <x:color rgb="FFE2E7EC"/>
      </x:left>
      <x:right style="thin">
        <x:color rgb="FFFFFFFF"/>
      </x:right>
      <x:bottom style="thin">
        <x:color rgb="FFE2E7EC"/>
      </x:bottom>
    </x:border>
    <x:border>
      <x:right style="thin">
        <x:color rgb="FFE2E7EC"/>
      </x:right>
      <x:top style="thin">
        <x:color rgb="FFE2E7EC"/>
      </x:top>
      <x:bottom style="thin">
        <x:color rgb="FFE2E7EC"/>
      </x:bottom>
    </x:border>
    <x:border>
      <x:left style="thin">
        <x:color rgb="FFE2E7EC"/>
      </x:left>
      <x:right style="thin">
        <x:color rgb="FFE2E7EC"/>
      </x:right>
      <x:top style="thin">
        <x:color rgb="FFE2E7EC"/>
      </x:top>
      <x:bottom style="thin">
        <x:color rgb="FFE2E7EC"/>
      </x:bottom>
    </x:border>
    <x:border>
      <x:left style="thin">
        <x:color rgb="FFE2E7EC"/>
      </x:left>
      <x:right style="thin">
        <x:color rgb="FFFFFFFF"/>
      </x:right>
      <x:top style="thin">
        <x:color rgb="FFE2E7EC"/>
      </x:top>
      <x:bottom style="thin">
        <x:color rgb="FFE2E7EC"/>
      </x:bottom>
    </x:border>
    <x:border>
      <x:right style="thin">
        <x:color rgb="FFE2E7EC"/>
      </x:right>
      <x:top style="thin">
        <x:color rgb="FFE2E7EC"/>
      </x:top>
    </x:border>
    <x:border>
      <x:left style="thin">
        <x:color rgb="FFE2E7EC"/>
      </x:left>
      <x:right style="thin">
        <x:color rgb="FFE2E7EC"/>
      </x:right>
      <x:top style="thin">
        <x:color rgb="FFE2E7EC"/>
      </x:top>
    </x:border>
    <x:border>
      <x:left style="thin">
        <x:color rgb="FFE2E7EC"/>
      </x:left>
      <x:right style="thin">
        <x:color rgb="FFFFFFFF"/>
      </x:right>
      <x:top style="thin">
        <x:color rgb="FFE2E7EC"/>
      </x:top>
    </x:border>
    <x:border>
      <x:right style="thin">
        <x:color rgb="FFE6E9ED"/>
      </x:right>
      <x:bottom style="thin">
        <x:color rgb="FFE6E9ED"/>
      </x:bottom>
    </x:border>
    <x:border>
      <x:left style="thin">
        <x:color rgb="FFE6E9ED"/>
      </x:left>
      <x:right style="thin">
        <x:color rgb="FFE6E9ED"/>
      </x:right>
      <x:bottom style="thin">
        <x:color rgb="FFE6E9ED"/>
      </x:bottom>
    </x:border>
    <x:border>
      <x:left style="thin">
        <x:color rgb="FFE6E9ED"/>
      </x:left>
      <x:bottom style="thin">
        <x:color rgb="FFE6E9ED"/>
      </x:bottom>
    </x:border>
    <x:border>
      <x:right style="thin">
        <x:color rgb="FFE6E9ED"/>
      </x:right>
      <x:top style="thin">
        <x:color rgb="FFE6E9ED"/>
      </x:top>
      <x:bottom style="thin">
        <x:color rgb="FFE6E9ED"/>
      </x:bottom>
    </x:border>
    <x:border>
      <x:left style="thin">
        <x:color rgb="FFE6E9ED"/>
      </x:left>
      <x:right style="thin">
        <x:color rgb="FFE6E9ED"/>
      </x:right>
      <x:top style="thin">
        <x:color rgb="FFE6E9ED"/>
      </x:top>
      <x:bottom style="thin">
        <x:color rgb="FFE6E9ED"/>
      </x:bottom>
    </x:border>
    <x:border>
      <x:left style="thin">
        <x:color rgb="FFE6E9ED"/>
      </x:left>
      <x:top style="thin">
        <x:color rgb="FFE6E9ED"/>
      </x:top>
      <x:bottom style="thin">
        <x:color rgb="FFE6E9ED"/>
      </x:bottom>
    </x:border>
    <x:border>
      <x:right style="thin">
        <x:color rgb="FFE6E9ED"/>
      </x:right>
      <x:top style="thin">
        <x:color rgb="FFE6E9ED"/>
      </x:top>
    </x:border>
    <x:border>
      <x:left style="thin">
        <x:color rgb="FFE6E9ED"/>
      </x:left>
      <x:right style="thin">
        <x:color rgb="FFE6E9ED"/>
      </x:right>
      <x:top style="thin">
        <x:color rgb="FFE6E9ED"/>
      </x:top>
    </x:border>
    <x:border>
      <x:left style="thin">
        <x:color rgb="FFE6E9ED"/>
      </x:left>
      <x:top style="thin">
        <x:color rgb="FFE6E9ED"/>
      </x:top>
    </x:border>
    <x:border>
      <x:left style="thin">
        <x:color rgb="FFD5DCE3"/>
      </x:left>
      <x:right style="thin">
        <x:color rgb="FFFFFFFF"/>
      </x:right>
      <x:bottom style="thin">
        <x:color rgb="FFD5DCE3"/>
      </x:bottom>
    </x:border>
    <x:border>
      <x:left style="thin">
        <x:color rgb="FFD5DCE3"/>
      </x:left>
      <x:right style="thin">
        <x:color rgb="FFFFFFFF"/>
      </x:right>
      <x:top style="thin">
        <x:color rgb="FFD5DCE3"/>
      </x:top>
      <x:bottom style="thin">
        <x:color rgb="FFD5DCE3"/>
      </x:bottom>
    </x:border>
    <x:border>
      <x:left style="thin">
        <x:color rgb="FFD5DCE3"/>
      </x:left>
      <x:right style="thin">
        <x:color rgb="FFFFFFFF"/>
      </x:right>
      <x:top style="thin">
        <x:color rgb="FFD5DCE3"/>
      </x:top>
    </x:border>
  </x:borders>
  <x:cellStyleXfs count="1">
    <x:xf numFmtId="0" fontId="0" fillId="0" borderId="0"/>
  </x:cellStyleXfs>
  <x:cellXfs count="1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5" fillId="0" borderId="17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200" fontId="5" fillId="0" borderId="18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8" xfId="0" applyNumberFormat="1" applyFont="1" applyFill="1" applyBorder="1" applyAlignment="1">
      <x:alignment vertical="center"/>
    </x:xf>
    <x:xf numFmtId="0" fontId="5" fillId="0" borderId="19" xfId="0" applyNumberFormat="1" applyFont="1" applyFill="1" applyBorder="1" applyAlignment="1">
      <x:alignment vertical="center"/>
    </x:xf>
    <x:xf numFmtId="0" fontId="5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vertical="center"/>
    </x:xf>
    <x:xf numFmtId="200" fontId="5" fillId="0" borderId="21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21" xfId="0" applyNumberFormat="1" applyFont="1" applyFill="1" applyBorder="1" applyAlignment="1">
      <x:alignment vertical="center"/>
    </x:xf>
    <x:xf numFmtId="0" fontId="5" fillId="0" borderId="22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vertical="center" wrapText="1"/>
    </x:xf>
    <x:xf numFmtId="0" fontId="5" fillId="0" borderId="22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23" xfId="0" applyNumberFormat="1" applyFont="1" applyFill="1" applyBorder="1" applyAlignment="1">
      <x:alignment vertical="center"/>
    </x:xf>
    <x:xf numFmtId="0" fontId="5" fillId="4" borderId="24" xfId="0" applyNumberFormat="1" applyFont="1" applyFill="1" applyBorder="1" applyAlignment="1">
      <x:alignment vertical="center"/>
    </x:xf>
    <x:xf numFmtId="0" fontId="5" fillId="4" borderId="25" xfId="0" applyNumberFormat="1" applyFont="1" applyFill="1" applyBorder="1" applyAlignment="1">
      <x:alignment vertical="center"/>
    </x:xf>
    <x:xf numFmtId="0" fontId="5" fillId="4" borderId="26" xfId="0" applyNumberFormat="1" applyFont="1" applyFill="1" applyBorder="1" applyAlignment="1">
      <x:alignment vertical="center"/>
    </x:xf>
    <x:xf numFmtId="0" fontId="5" fillId="4" borderId="27" xfId="0" applyNumberFormat="1" applyFont="1" applyFill="1" applyBorder="1" applyAlignment="1">
      <x:alignment vertical="center"/>
    </x:xf>
    <x:xf numFmtId="0" fontId="5" fillId="4" borderId="28" xfId="0" applyNumberFormat="1" applyFont="1" applyFill="1" applyBorder="1" applyAlignment="1">
      <x:alignment vertical="center"/>
    </x:xf>
    <x:xf numFmtId="0" fontId="5" fillId="4" borderId="29" xfId="0" applyNumberFormat="1" applyFont="1" applyFill="1" applyBorder="1" applyAlignment="1">
      <x:alignment vertical="center"/>
    </x:xf>
    <x:xf numFmtId="0" fontId="5" fillId="4" borderId="30" xfId="0" applyNumberFormat="1" applyFont="1" applyFill="1" applyBorder="1" applyAlignment="1">
      <x:alignment vertical="center"/>
    </x:xf>
    <x:xf numFmtId="0" fontId="5" fillId="4" borderId="31" xfId="0" applyNumberFormat="1" applyFont="1" applyFill="1" applyBorder="1" applyAlignment="1">
      <x:alignment vertical="center"/>
    </x:xf>
    <x:xf numFmtId="0" fontId="5" fillId="5" borderId="23" xfId="0" applyNumberFormat="1" applyFont="1" applyFill="1" applyBorder="1" applyAlignment="1">
      <x:alignment vertical="center"/>
    </x:xf>
    <x:xf numFmtId="0" fontId="5" fillId="5" borderId="26" xfId="0" applyNumberFormat="1" applyFont="1" applyFill="1" applyBorder="1" applyAlignment="1">
      <x:alignment vertical="center"/>
    </x:xf>
    <x:xf numFmtId="0" fontId="5" fillId="5" borderId="29" xfId="0" applyNumberFormat="1" applyFont="1" applyFill="1" applyBorder="1" applyAlignment="1">
      <x:alignment vertical="center"/>
    </x:xf>
    <x:xf numFmtId="0" fontId="5" fillId="5" borderId="24" xfId="0" applyNumberFormat="1" applyFont="1" applyFill="1" applyBorder="1" applyAlignment="1">
      <x:alignment vertical="center"/>
    </x:xf>
    <x:xf numFmtId="0" fontId="5" fillId="5" borderId="27" xfId="0" applyNumberFormat="1" applyFont="1" applyFill="1" applyBorder="1" applyAlignment="1">
      <x:alignment vertical="center"/>
    </x:xf>
    <x:xf numFmtId="0" fontId="5" fillId="5" borderId="30" xfId="0" applyNumberFormat="1" applyFont="1" applyFill="1" applyBorder="1" applyAlignment="1">
      <x:alignment vertical="center"/>
    </x:xf>
    <x:xf numFmtId="0" fontId="5" fillId="0" borderId="23" xfId="0" applyNumberFormat="1" applyFont="1" applyFill="1" applyBorder="1" applyAlignment="1">
      <x:alignment vertical="center"/>
    </x:xf>
    <x:xf numFmtId="0" fontId="5" fillId="0" borderId="24" xfId="0" applyNumberFormat="1" applyFont="1" applyFill="1" applyBorder="1" applyAlignment="1">
      <x:alignment vertical="center"/>
    </x:xf>
    <x:xf numFmtId="0" fontId="5" fillId="0" borderId="25" xfId="0" applyNumberFormat="1" applyFont="1" applyFill="1" applyBorder="1" applyAlignment="1">
      <x:alignment vertical="center"/>
    </x:xf>
    <x:xf numFmtId="0" fontId="5" fillId="0" borderId="26" xfId="0" applyNumberFormat="1" applyFont="1" applyFill="1" applyBorder="1" applyAlignment="1">
      <x:alignment vertical="center"/>
    </x:xf>
    <x:xf numFmtId="0" fontId="5" fillId="0" borderId="27" xfId="0" applyNumberFormat="1" applyFont="1" applyFill="1" applyBorder="1" applyAlignment="1">
      <x:alignment vertical="center"/>
    </x:xf>
    <x:xf numFmtId="0" fontId="5" fillId="0" borderId="28" xfId="0" applyNumberFormat="1" applyFont="1" applyFill="1" applyBorder="1" applyAlignment="1">
      <x:alignment vertical="center"/>
    </x:xf>
    <x:xf numFmtId="0" fontId="5" fillId="0" borderId="29" xfId="0" applyNumberFormat="1" applyFont="1" applyFill="1" applyBorder="1" applyAlignment="1">
      <x:alignment vertical="center"/>
    </x:xf>
    <x:xf numFmtId="0" fontId="5" fillId="0" borderId="30" xfId="0" applyNumberFormat="1" applyFont="1" applyFill="1" applyBorder="1" applyAlignment="1">
      <x:alignment vertical="center"/>
    </x:xf>
    <x:xf numFmtId="0" fontId="5" fillId="0" borderId="31" xfId="0" applyNumberFormat="1" applyFont="1" applyFill="1" applyBorder="1" applyAlignment="1">
      <x:alignment vertical="center"/>
    </x:xf>
    <x:xf numFmtId="202" fontId="5" fillId="5" borderId="23" xfId="0" applyNumberFormat="1" applyFont="1" applyFill="1" applyBorder="1" applyAlignment="1">
      <x:alignment vertical="center"/>
    </x:xf>
    <x:xf numFmtId="202" fontId="5" fillId="5" borderId="26" xfId="0" applyNumberFormat="1" applyFont="1" applyFill="1" applyBorder="1" applyAlignment="1">
      <x:alignment vertical="center"/>
    </x:xf>
    <x:xf numFmtId="202" fontId="5" fillId="5" borderId="29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32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33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34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33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4543A"/>
      </x:font>
      <x:fill>
        <x:patternFill patternType="solid">
          <x:bgColor rgb="FFE8F3EC"/>
        </x:patternFill>
      </x:fill>
    </x:dxf>
    <x:dxf>
      <x:font>
        <x:b/>
        <x:color rgb="FF9F2D25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5dcddb1474c2d" /><Relationship Type="http://schemas.openxmlformats.org/officeDocument/2006/relationships/theme" Target="/xl/theme/theme1.xml" Id="R3931e4d75b444575" /><Relationship Type="http://schemas.microsoft.com/office/2022/11/relationships/FeaturePropertyBag" Target="/xl/featurePropertyBag/featurePropertyBag.xml" Id="Rad4dac1fdcc6483b" /><Relationship Type="http://schemas.openxmlformats.org/officeDocument/2006/relationships/sharedStrings" Target="/xl/sharedStrings.xml" Id="Rd59b92d89365427d" /><Relationship Type="http://schemas.openxmlformats.org/officeDocument/2006/relationships/worksheet" Target="/xl/worksheets/sheet1.xml" Id="R1430b12c7219489f" /><Relationship Type="http://schemas.openxmlformats.org/officeDocument/2006/relationships/worksheet" Target="/xl/worksheets/sheet2.xml" Id="R35c79b4382654001" /><Relationship Type="http://schemas.openxmlformats.org/officeDocument/2006/relationships/worksheet" Target="/xl/worksheets/sheet3.xml" Id="R8772c3d206c441f3" /><Relationship Type="http://schemas.openxmlformats.org/officeDocument/2006/relationships/worksheet" Target="/xl/worksheets/sheet4.xml" Id="Rabe87022997a4988" /><Relationship Type="http://schemas.openxmlformats.org/officeDocument/2006/relationships/worksheet" Target="/xl/worksheets/sheet5.xml" Id="R52979fbd55a94a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alidationPanelTable" displayName="ValidationPanelTable" ref="A5:T42" headerRowCount="1" totalsRowCount="0" totalsRowShown="0">
  <x:tableColumns count="20">
    <x:tableColumn id="1" name="Sample ID"/>
    <x:tableColumn id="2" name="Variant ID"/>
    <x:tableColumn id="3" name="7-mer"/>
    <x:tableColumn id="4" name="Panel role"/>
    <x:tableColumn id="5" name="Priority"/>
    <x:tableColumn id="6" name="Selection group"/>
    <x:tableColumn id="7" name="Rank"/>
    <x:tableColumn id="8" name="Selection basis"/>
    <x:tableColumn id="9" name="Strict conservative"/>
    <x:tableColumn id="10" name="Strict Pareto"/>
    <x:tableColumn id="11" name="Packaging LCB"/>
    <x:tableColumn id="12" name="Pred brain"/>
    <x:tableColumn id="13" name="Pred spinal cord"/>
    <x:tableColumn id="14" name="Pred liver"/>
    <x:tableColumn id="15" name="Pred log2 specificity"/>
    <x:tableColumn id="16" name="Mean uncertainty"/>
    <x:tableColumn id="17" name="Human-liver warning"/>
    <x:tableColumn id="18" name="Stage 1"/>
    <x:tableColumn id="19" name="Stage 2"/>
    <x:tableColumn id="20" name="Stage 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tLabResultsTable" displayName="WetLabResultsTable" ref="A5:V205" headerRowCount="1" totalsRowCount="0" totalsRowShown="0">
  <x:tableColumns count="22">
    <x:tableColumn id="1" name="study_id"/>
    <x:tableColumn id="2" name="stage"/>
    <x:tableColumn id="3" name="sample_id"/>
    <x:tableColumn id="4" name="blind_id"/>
    <x:tableColumn id="5" name="production_batch"/>
    <x:tableColumn id="6" name="biological_replicate"/>
    <x:tableColumn id="7" name="technical_replicate"/>
    <x:tableColumn id="8" name="assay"/>
    <x:tableColumn id="9" name="cell_type_or_tissue"/>
    <x:tableColumn id="10" name="timepoint"/>
    <x:tableColumn id="11" name="dose_value"/>
    <x:tableColumn id="12" name="dose_unit"/>
    <x:tableColumn id="13" name="raw_value"/>
    <x:tableColumn id="14" name="raw_unit"/>
    <x:tableColumn id="15" name="normalized_value"/>
    <x:tableColumn id="16" name="normalized_unit"/>
    <x:tableColumn id="17" name="normalization_reference"/>
    <x:tableColumn id="18" name="qc_status"/>
    <x:tableColumn id="19" name="included_in_primary_analysis"/>
    <x:tableColumn id="20" name="exclusion_reason"/>
    <x:tableColumn id="21" name="operator_blinded"/>
    <x:tableColumn id="2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LogTable" displayName="DecisionLogTable" ref="A5:M105" headerRowCount="1" totalsRowCount="0" totalsRowShown="0">
  <x:tableColumns count="13">
    <x:tableColumn id="1" name="decision_date"/>
    <x:tableColumn id="2" name="stage"/>
    <x:tableColumn id="3" name="sample_id"/>
    <x:tableColumn id="4" name="decision"/>
    <x:tableColumn id="5" name="primary_endpoint_result"/>
    <x:tableColumn id="6" name="packaging_gate_result"/>
    <x:tableColumn id="7" name="target_signal_result"/>
    <x:tableColumn id="8" name="liver_signal_result"/>
    <x:tableColumn id="9" name="safety_result"/>
    <x:tableColumn id="10" name="evidence_location"/>
    <x:tableColumn id="11" name="decision_maker"/>
    <x:tableColumn id="12" name="deviation_from_preregistered_rule"/>
    <x:tableColumn id="13" name="deviation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5:E27" headerRowCount="1" totalsRowCount="0" totalsRowShown="0">
  <x:tableColumns count="5">
    <x:tableColumn id="1" name="Field"/>
    <x:tableColumn id="2" name="Required"/>
    <x:tableColumn id="3" name="Definition"/>
    <x:tableColumn id="4" name="Example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f814bf8b5e4e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dfd81a4f1643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05148f5d2e40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95bd5c32f1419a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42" hidden="0" customWidth="1"/>
    <x:col min="4" max="4" width="10" hidden="0" customWidth="1"/>
    <x:col min="5" max="5" width="31" hidden="0" customWidth="1"/>
    <x:col min="6" max="6" width="35" hidden="0" customWidth="1"/>
    <x:col min="7" max="7" width="32" hidden="0" customWidth="1"/>
    <x:col min="8" max="8" width="20" hidden="0" customWidth="1"/>
  </x:cols>
  <x:sheetData>
    <x:row r="1">
      <x:c r="A1" s="36"/>
      <x:c r="B1" s="36"/>
      <x:c r="C1" s="36"/>
      <x:c r="D1" s="36"/>
      <x:c r="E1" s="36"/>
      <x:c r="F1" s="36"/>
      <x:c r="G1" s="36"/>
      <x:c r="H1" s="36"/>
    </x:row>
    <x:row r="2">
      <x:c r="A2" s="37" t="str">
        <x:v>LIFS-Comp_AAV9 experimental validation handoff</x:v>
      </x:c>
      <x:c r="B2" s="37"/>
      <x:c r="C2" s="37"/>
      <x:c r="D2" s="37"/>
      <x:c r="E2" s="37"/>
      <x:c r="F2" s="37"/>
      <x:c r="G2" s="37"/>
      <x:c r="H2" s="37"/>
    </x:row>
    <x:row r="3">
      <x:c r="A3" s="38" t="str">
        <x:v>Planning workbook for a qualified AAV core and collaborating laboratories. Values are hypotheses until measured.</x:v>
      </x:c>
      <x:c r="B3" s="38"/>
      <x:c r="C3" s="38"/>
      <x:c r="D3" s="38"/>
      <x:c r="E3" s="38"/>
      <x:c r="F3" s="38"/>
      <x:c r="G3" s="38"/>
      <x:c r="H3" s="38"/>
    </x:row>
    <x:row r="4">
      <x:c r="A4" s="39"/>
      <x:c r="B4" s="39"/>
      <x:c r="C4" s="39"/>
      <x:c r="D4" s="39"/>
      <x:c r="E4" s="39"/>
      <x:c r="F4" s="39"/>
      <x:c r="G4" s="39"/>
      <x:c r="H4" s="39"/>
    </x:row>
    <x:row r="5">
      <x:c r="A5" s="36"/>
      <x:c r="B5" s="36"/>
      <x:c r="C5" s="36"/>
      <x:c r="D5" s="36"/>
      <x:c r="E5" s="36"/>
      <x:c r="F5" s="36"/>
      <x:c r="G5" s="36"/>
      <x:c r="H5" s="36"/>
    </x:row>
    <x:row r="6" ht="30" customHeight="1">
      <x:c r="A6" s="9" t="str">
        <x:v>Panel summary</x:v>
      </x:c>
      <x:c r="B6" s="10" t="str">
        <x:v>Count</x:v>
      </x:c>
      <x:c r="C6" s="36"/>
      <x:c r="D6" s="9" t="str">
        <x:v>Stage</x:v>
      </x:c>
      <x:c r="E6" s="20" t="str">
        <x:v>Question</x:v>
      </x:c>
      <x:c r="F6" s="20" t="str">
        <x:v>Required evidence</x:v>
      </x:c>
      <x:c r="G6" s="20" t="str">
        <x:v>Default gate</x:v>
      </x:c>
      <x:c r="H6" s="10" t="str">
        <x:v>Decision</x:v>
      </x:c>
    </x:row>
    <x:row r="7" ht="44" customHeight="1">
      <x:c r="A7" s="40" t="str">
        <x:v>Computational candidates</x:v>
      </x:c>
      <x:c r="B7" s="41" t="n">
        <x:f>COUNTIFS('Candidate Panel'!$D$6:$D$42,"computational_candidate")</x:f>
        <x:v>30</x:v>
      </x:c>
      <x:c r="C7" s="36"/>
      <x:c r="D7" s="42" t="str">
        <x:v>0</x:v>
      </x:c>
      <x:c r="E7" s="43" t="str">
        <x:v>Is the construct correct?</x:v>
      </x:c>
      <x:c r="F7" s="43" t="str">
        <x:v>Sequence identity and locked genome design</x:v>
      </x:c>
      <x:c r="G7" s="43" t="str">
        <x:v>Correct identity</x:v>
      </x:c>
      <x:c r="H7" s="44" t="str">
        <x:v>Build or stop</x:v>
      </x:c>
    </x:row>
    <x:row r="8" ht="44" customHeight="1">
      <x:c r="A8" s="45" t="str">
        <x:v>Tier 1 candidates</x:v>
      </x:c>
      <x:c r="B8" s="46" t="n">
        <x:f>COUNTIFS('Candidate Panel'!$E$6:$E$42,"Tier 1")</x:f>
        <x:v>7</x:v>
      </x:c>
      <x:c r="C8" s="36"/>
      <x:c r="D8" s="47" t="str">
        <x:v>1</x:v>
      </x:c>
      <x:c r="E8" s="48" t="str">
        <x:v>Can it be produced?</x:v>
      </x:c>
      <x:c r="F8" s="48" t="str">
        <x:v>Independent-batch yield and product QC</x:v>
      </x:c>
      <x:c r="G8" s="48" t="str">
        <x:v>&gt;=0.5x parent in &gt;=2/3 batches</x:v>
      </x:c>
      <x:c r="H8" s="49" t="str">
        <x:v>Advance or stop</x:v>
      </x:c>
    </x:row>
    <x:row r="9" ht="44" customHeight="1">
      <x:c r="A9" s="45" t="str">
        <x:v>Tier 2 candidates</x:v>
      </x:c>
      <x:c r="B9" s="46" t="n">
        <x:f>COUNTIFS('Candidate Panel'!$E$6:$E$42,"Tier 2")</x:f>
        <x:v>2</x:v>
      </x:c>
      <x:c r="C9" s="36"/>
      <x:c r="D9" s="47" t="str">
        <x:v>2</x:v>
      </x:c>
      <x:c r="E9" s="48" t="str">
        <x:v>Does it favor the target in cells?</x:v>
      </x:c>
      <x:c r="F9" s="48" t="str">
        <x:v>Motor-neuron and liver-cell uptake/expression</x:v>
      </x:c>
      <x:c r="G9" s="48" t="str">
        <x:v>Target retained; liver no higher</x:v>
      </x:c>
      <x:c r="H9" s="49" t="str">
        <x:v>Select 4-6</x:v>
      </x:c>
    </x:row>
    <x:row r="10" ht="44" customHeight="1">
      <x:c r="A10" s="45" t="str">
        <x:v>Tier 3 candidates</x:v>
      </x:c>
      <x:c r="B10" s="46" t="n">
        <x:f>COUNTIFS('Candidate Panel'!$E$6:$E$42,"Tier 3")</x:f>
        <x:v>21</x:v>
      </x:c>
      <x:c r="C10" s="36"/>
      <x:c r="D10" s="47" t="str">
        <x:v>3</x:v>
      </x:c>
      <x:c r="E10" s="48" t="str">
        <x:v>Does systemic distribution improve?</x:v>
      </x:c>
      <x:c r="F10" s="48" t="str">
        <x:v>Mouse CNS, liver, off-target, and safety data</x:v>
      </x:c>
      <x:c r="G10" s="48" t="str">
        <x:v>&gt;=2x spinal:liver ratio; CNS retained</x:v>
      </x:c>
      <x:c r="H10" s="49" t="str">
        <x:v>Nominate or stop</x:v>
      </x:c>
    </x:row>
    <x:row r="11" ht="44" customHeight="1">
      <x:c r="A11" s="50" t="str">
        <x:v>Controls</x:v>
      </x:c>
      <x:c r="B11" s="51" t="n">
        <x:f>COUNTIFS('Candidate Panel'!$E$6:$E$42,"Control")</x:f>
        <x:v>7</x:v>
      </x:c>
      <x:c r="C11" s="36"/>
      <x:c r="D11" s="52" t="str">
        <x:v>4</x:v>
      </x:c>
      <x:c r="E11" s="53" t="str">
        <x:v>Is it relevant to SMA and immunity?</x:v>
      </x:c>
      <x:c r="F11" s="53" t="str">
        <x:v>SMN1 rescue and validated neutralization assays</x:v>
      </x:c>
      <x:c r="G11" s="53" t="str">
        <x:v>Separate pre-registered criteria</x:v>
      </x:c>
      <x:c r="H11" s="54" t="str">
        <x:v>Translational follow-up</x:v>
      </x:c>
    </x:row>
    <x:row r="12">
      <x:c r="A12" s="36"/>
      <x:c r="B12" s="36"/>
      <x:c r="C12" s="36"/>
      <x:c r="D12" s="36"/>
      <x:c r="E12" s="36"/>
      <x:c r="F12" s="36"/>
      <x:c r="G12" s="36"/>
      <x:c r="H12" s="36"/>
    </x:row>
    <x:row r="13">
      <x:c r="A13" s="36"/>
      <x:c r="B13" s="36"/>
      <x:c r="C13" s="36"/>
      <x:c r="D13" s="36"/>
      <x:c r="E13" s="36"/>
      <x:c r="F13" s="36"/>
      <x:c r="G13" s="36"/>
      <x:c r="H13" s="36"/>
    </x:row>
    <x:row r="14">
      <x:c r="A14" s="55" t="str">
        <x:v>Use rules</x:v>
      </x:c>
      <x:c r="B14" s="56" t="str"/>
      <x:c r="C14" s="56" t="str"/>
      <x:c r="D14" s="56" t="str"/>
      <x:c r="E14" s="56" t="str"/>
      <x:c r="F14" s="56" t="str"/>
      <x:c r="G14" s="56" t="str"/>
      <x:c r="H14" s="56" t="str"/>
    </x:row>
    <x:row r="15" ht="32" customHeight="1">
      <x:c r="A15" s="57" t="str">
        <x:v>1</x:v>
      </x:c>
      <x:c r="B15" s="58" t="str">
        <x:v>Freeze the preregistration, sample key, primary endpoint, and exclusion rules before outcome review.</x:v>
      </x:c>
      <x:c r="C15" s="58" t="str"/>
      <x:c r="D15" s="58" t="str"/>
      <x:c r="E15" s="58" t="str"/>
      <x:c r="F15" s="58" t="str"/>
      <x:c r="G15" s="58" t="str"/>
      <x:c r="H15" s="58" t="str"/>
    </x:row>
    <x:row r="16" ht="32" customHeight="1">
      <x:c r="A16" s="57" t="str">
        <x:v>2</x:v>
      </x:c>
      <x:c r="B16" s="58" t="str">
        <x:v>Use matched AAV9(K449R) parent as the primary comparator; wild-type AAV9 is optional context only.</x:v>
      </x:c>
      <x:c r="C16" s="58" t="str"/>
      <x:c r="D16" s="58" t="str"/>
      <x:c r="E16" s="58" t="str"/>
      <x:c r="F16" s="58" t="str"/>
      <x:c r="G16" s="58" t="str"/>
      <x:c r="H16" s="58" t="str"/>
    </x:row>
    <x:row r="17" ht="32" customHeight="1">
      <x:c r="A17" s="57" t="str">
        <x:v>3</x:v>
      </x:c>
      <x:c r="B17" s="58" t="str">
        <x:v>Enter one observation per row in Result Entry. Technical repeats do not increase biological n.</x:v>
      </x:c>
      <x:c r="C17" s="58" t="str"/>
      <x:c r="D17" s="58" t="str"/>
      <x:c r="E17" s="58" t="str"/>
      <x:c r="F17" s="58" t="str"/>
      <x:c r="G17" s="58" t="str"/>
      <x:c r="H17" s="58" t="str"/>
    </x:row>
    <x:row r="18" ht="32" customHeight="1">
      <x:c r="A18" s="57" t="str">
        <x:v>4</x:v>
      </x:c>
      <x:c r="B18" s="58" t="str">
        <x:v>Record every stage decision, including failures and deviations, in Decision Log.</x:v>
      </x:c>
      <x:c r="C18" s="58" t="str"/>
      <x:c r="D18" s="58" t="str"/>
      <x:c r="E18" s="58" t="str"/>
      <x:c r="F18" s="58" t="str"/>
      <x:c r="G18" s="58" t="str"/>
      <x:c r="H18" s="58" t="str"/>
    </x:row>
    <x:row r="19">
      <x:c r="A19" s="36"/>
      <x:c r="B19" s="36"/>
      <x:c r="C19" s="36"/>
      <x:c r="D19" s="36"/>
      <x:c r="E19" s="36"/>
      <x:c r="F19" s="36"/>
      <x:c r="G19" s="36"/>
      <x:c r="H19" s="36"/>
    </x:row>
    <x:row r="20">
      <x:c r="A20" s="36"/>
      <x:c r="B20" s="36"/>
      <x:c r="C20" s="36"/>
      <x:c r="D20" s="36"/>
      <x:c r="E20" s="36"/>
      <x:c r="F20" s="36"/>
      <x:c r="G20" s="36"/>
      <x:c r="H20" s="36"/>
    </x:row>
    <x:row r="21">
      <x:c r="A21" s="59" t="str">
        <x:v>Sources</x:v>
      </x:c>
      <x:c r="B21" s="59" t="str">
        <x:v>Fit4Function</x:v>
      </x:c>
      <x:c r="C21" s="59" t="str">
        <x:v>https://www.nature.com/articles/s41467-024-50555-y</x:v>
      </x:c>
      <x:c r="D21" s="36" t="str"/>
      <x:c r="E21" s="36" t="str"/>
      <x:c r="F21" s="36" t="str"/>
      <x:c r="G21" s="36" t="str"/>
      <x:c r="H21" s="36" t="str"/>
    </x:row>
    <x:row r="22">
      <x:c r="A22" s="59" t="str"/>
      <x:c r="B22" s="59" t="str">
        <x:v>ARRIVE 2.0</x:v>
      </x:c>
      <x:c r="C22" s="59" t="str">
        <x:v>https://arriveguidelines.org/arrive-guidelines</x:v>
      </x:c>
      <x:c r="D22" s="36" t="str"/>
      <x:c r="E22" s="36" t="str"/>
      <x:c r="F22" s="36" t="str"/>
      <x:c r="G22" s="36" t="str"/>
      <x:c r="H22" s="36" t="str"/>
    </x:row>
    <x:row r="23">
      <x:c r="A23" s="59" t="str"/>
      <x:c r="B23" s="59" t="str">
        <x:v>Full bilingual SOP</x:v>
      </x:c>
      <x:c r="C23" s="59" t="str">
        <x:v>docs/EXPERIMENTAL_VALIDATION_SOP.md and .zh-CN.md</x:v>
      </x:c>
      <x:c r="D23" s="36" t="str"/>
      <x:c r="E23" s="36" t="str"/>
      <x:c r="F23" s="36" t="str"/>
      <x:c r="G23" s="36" t="str"/>
      <x:c r="H23" s="36" t="str"/>
    </x:row>
  </x:sheetData>
  <x:mergeCells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5F8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30" hidden="0" customWidth="1"/>
    <x:col min="5" max="5" width="13" hidden="0" customWidth="1"/>
    <x:col min="6" max="6" width="24" hidden="0" customWidth="1"/>
    <x:col min="7" max="7" width="9" hidden="0" customWidth="1"/>
    <x:col min="8" max="8" width="35" hidden="0" customWidth="1"/>
    <x:col min="9" max="9" width="16" hidden="0" customWidth="1"/>
    <x:col min="10" max="10" width="13" hidden="0" customWidth="1"/>
    <x:col min="11" max="11" width="14" hidden="0" customWidth="1"/>
    <x:col min="12" max="12" width="13" hidden="0" customWidth="1"/>
    <x:col min="13" max="13" width="16" hidden="0" customWidth="1"/>
    <x:col min="14" max="14" width="13" hidden="0" customWidth="1"/>
    <x:col min="15" max="15" width="18" hidden="0" customWidth="1"/>
    <x:col min="16" max="16" width="16" hidden="0" customWidth="1"/>
    <x:col min="17" max="17" width="18" hidden="0" customWidth="1"/>
    <x:col min="18" max="18" width="25" hidden="0" customWidth="1"/>
    <x:col min="19" max="19" width="34" hidden="0" customWidth="1"/>
    <x:col min="20" max="20" width="34" hidden="0" customWidth="1"/>
  </x:cols>
  <x:sheetData>
    <x:row r="2">
      <x:c r="A2" s="1" t="str">
        <x:v>Candidate and control panel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2" t="str">
        <x:v>Source: virtual_screen_shortlist.csv and funnel_control_audit.csv. Blank predicted fields are expected for non-computational controls.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 ht="38" customHeight="1">
      <x:c r="A5" s="65" t="str">
        <x:v>Sample ID</x:v>
      </x:c>
      <x:c r="B5" s="66" t="str">
        <x:v>Variant ID</x:v>
      </x:c>
      <x:c r="C5" s="66" t="str">
        <x:v>7-mer</x:v>
      </x:c>
      <x:c r="D5" s="66" t="str">
        <x:v>Panel role</x:v>
      </x:c>
      <x:c r="E5" s="66" t="str">
        <x:v>Priority</x:v>
      </x:c>
      <x:c r="F5" s="66" t="str">
        <x:v>Selection group</x:v>
      </x:c>
      <x:c r="G5" s="66" t="str">
        <x:v>Rank</x:v>
      </x:c>
      <x:c r="H5" s="66" t="str">
        <x:v>Selection basis</x:v>
      </x:c>
      <x:c r="I5" s="66" t="str">
        <x:v>Strict conservative</x:v>
      </x:c>
      <x:c r="J5" s="66" t="str">
        <x:v>Strict Pareto</x:v>
      </x:c>
      <x:c r="K5" s="66" t="str">
        <x:v>Packaging LCB</x:v>
      </x:c>
      <x:c r="L5" s="66" t="str">
        <x:v>Pred brain</x:v>
      </x:c>
      <x:c r="M5" s="66" t="str">
        <x:v>Pred spinal cord</x:v>
      </x:c>
      <x:c r="N5" s="66" t="str">
        <x:v>Pred liver</x:v>
      </x:c>
      <x:c r="O5" s="66" t="str">
        <x:v>Pred log2 specificity</x:v>
      </x:c>
      <x:c r="P5" s="66" t="str">
        <x:v>Mean uncertainty</x:v>
      </x:c>
      <x:c r="Q5" s="66" t="str">
        <x:v>Human-liver warning</x:v>
      </x:c>
      <x:c r="R5" s="66" t="str">
        <x:v>Stage 1</x:v>
      </x:c>
      <x:c r="S5" s="66" t="str">
        <x:v>Stage 2</x:v>
      </x:c>
      <x:c r="T5" s="67" t="str">
        <x:v>Stage 3</x:v>
      </x:c>
    </x:row>
    <x:row r="6">
      <x:c r="A6" s="68" t="str">
        <x:v>CAND-001</x:v>
      </x:c>
      <x:c r="B6" s="69" t="str">
        <x:v>VIRT_0406245</x:v>
      </x:c>
      <x:c r="C6" s="69" t="str">
        <x:v>GKEKGGE</x:v>
      </x:c>
      <x:c r="D6" s="69" t="str">
        <x:v>computational_candidate</x:v>
      </x:c>
      <x:c r="E6" s="69" t="str">
        <x:v>Tier 1</x:v>
      </x:c>
      <x:c r="F6" s="69" t="str">
        <x:v>balanced</x:v>
      </x:c>
      <x:c r="G6" s="70" t="n">
        <x:v>1</x:v>
      </x:c>
      <x:c r="H6" s="80" t="str">
        <x:v>strict_conservative_shortlist</x:v>
      </x:c>
      <x:c r="I6" s="71" t="b">
        <x:v>1</x:v>
      </x:c>
      <x:c r="J6" s="71" t="b">
        <x:v>1</x:v>
      </x:c>
      <x:c r="K6" s="72" t="n">
        <x:v>-0.6654811</x:v>
      </x:c>
      <x:c r="L6" s="72" t="n">
        <x:v>0.21409759</x:v>
      </x:c>
      <x:c r="M6" s="72" t="n">
        <x:v>0.28453168</x:v>
      </x:c>
      <x:c r="N6" s="72" t="n">
        <x:v>-1.7041471</x:v>
      </x:c>
      <x:c r="O6" s="72" t="n">
        <x:v>1.9534618</x:v>
      </x:c>
      <x:c r="P6" s="72" t="n">
        <x:v>0.118416205</x:v>
      </x:c>
      <x:c r="Q6" s="71" t="b">
        <x:v>0</x:v>
      </x:c>
      <x:c r="R6" s="80" t="str">
        <x:v>package_and_qc</x:v>
      </x:c>
      <x:c r="S6" s="80" t="str">
        <x:v>advance_if_stage_1_passes</x:v>
      </x:c>
      <x:c r="T6" s="82" t="str">
        <x:v>rank_after_stage_2; test top 4-6</x:v>
      </x:c>
    </x:row>
    <x:row r="7">
      <x:c r="A7" s="68" t="str">
        <x:v>CAND-002</x:v>
      </x:c>
      <x:c r="B7" s="69" t="str">
        <x:v>VIRT_0733807</x:v>
      </x:c>
      <x:c r="C7" s="69" t="str">
        <x:v>VNKGKDE</x:v>
      </x:c>
      <x:c r="D7" s="69" t="str">
        <x:v>computational_candidate</x:v>
      </x:c>
      <x:c r="E7" s="69" t="str">
        <x:v>Tier 1</x:v>
      </x:c>
      <x:c r="F7" s="69" t="str">
        <x:v>cns_favoring</x:v>
      </x:c>
      <x:c r="G7" s="70" t="n">
        <x:v>3</x:v>
      </x:c>
      <x:c r="H7" s="80" t="str">
        <x:v>strict_conservative_shortlist</x:v>
      </x:c>
      <x:c r="I7" s="71" t="b">
        <x:v>1</x:v>
      </x:c>
      <x:c r="J7" s="71" t="b">
        <x:v>1</x:v>
      </x:c>
      <x:c r="K7" s="72" t="n">
        <x:v>-0.71152544</x:v>
      </x:c>
      <x:c r="L7" s="72" t="n">
        <x:v>0.18371108</x:v>
      </x:c>
      <x:c r="M7" s="72" t="n">
        <x:v>0.21958752</x:v>
      </x:c>
      <x:c r="N7" s="72" t="n">
        <x:v>-1.2176299</x:v>
      </x:c>
      <x:c r="O7" s="72" t="n">
        <x:v>1.4192792</x:v>
      </x:c>
      <x:c r="P7" s="72" t="n">
        <x:v>0.08852382</x:v>
      </x:c>
      <x:c r="Q7" s="71" t="b">
        <x:v>0</x:v>
      </x:c>
      <x:c r="R7" s="80" t="str">
        <x:v>package_and_qc</x:v>
      </x:c>
      <x:c r="S7" s="80" t="str">
        <x:v>advance_if_stage_1_passes</x:v>
      </x:c>
      <x:c r="T7" s="82" t="str">
        <x:v>rank_after_stage_2; test top 4-6</x:v>
      </x:c>
    </x:row>
    <x:row r="8">
      <x:c r="A8" s="68" t="str">
        <x:v>CAND-003</x:v>
      </x:c>
      <x:c r="B8" s="69" t="str">
        <x:v>VIRT_0878801</x:v>
      </x:c>
      <x:c r="C8" s="69" t="str">
        <x:v>KGDKNEG</x:v>
      </x:c>
      <x:c r="D8" s="69" t="str">
        <x:v>computational_candidate</x:v>
      </x:c>
      <x:c r="E8" s="69" t="str">
        <x:v>Tier 1</x:v>
      </x:c>
      <x:c r="F8" s="69" t="str">
        <x:v>low_liver</x:v>
      </x:c>
      <x:c r="G8" s="70" t="n">
        <x:v>1</x:v>
      </x:c>
      <x:c r="H8" s="80" t="str">
        <x:v>strict_conservative_shortlist</x:v>
      </x:c>
      <x:c r="I8" s="71" t="b">
        <x:v>1</x:v>
      </x:c>
      <x:c r="J8" s="71" t="b">
        <x:v>1</x:v>
      </x:c>
      <x:c r="K8" s="72" t="n">
        <x:v>-0.7657566</x:v>
      </x:c>
      <x:c r="L8" s="72" t="n">
        <x:v>0.08860666</x:v>
      </x:c>
      <x:c r="M8" s="72" t="n">
        <x:v>0.1682895</x:v>
      </x:c>
      <x:c r="N8" s="72" t="n">
        <x:v>-1.7142708</x:v>
      </x:c>
      <x:c r="O8" s="72" t="n">
        <x:v>1.842719</x:v>
      </x:c>
      <x:c r="P8" s="72" t="n">
        <x:v>0.06634835</x:v>
      </x:c>
      <x:c r="Q8" s="71" t="b">
        <x:v>0</x:v>
      </x:c>
      <x:c r="R8" s="80" t="str">
        <x:v>package_and_qc</x:v>
      </x:c>
      <x:c r="S8" s="80" t="str">
        <x:v>advance_if_stage_1_passes</x:v>
      </x:c>
      <x:c r="T8" s="82" t="str">
        <x:v>rank_after_stage_2; test top 4-6</x:v>
      </x:c>
    </x:row>
    <x:row r="9">
      <x:c r="A9" s="68" t="str">
        <x:v>CAND-004</x:v>
      </x:c>
      <x:c r="B9" s="69" t="str">
        <x:v>VIRT_0120124</x:v>
      </x:c>
      <x:c r="C9" s="69" t="str">
        <x:v>SKDNKEG</x:v>
      </x:c>
      <x:c r="D9" s="69" t="str">
        <x:v>computational_candidate</x:v>
      </x:c>
      <x:c r="E9" s="69" t="str">
        <x:v>Tier 1</x:v>
      </x:c>
      <x:c r="F9" s="69" t="str">
        <x:v>low_liver</x:v>
      </x:c>
      <x:c r="G9" s="70" t="n">
        <x:v>2</x:v>
      </x:c>
      <x:c r="H9" s="80" t="str">
        <x:v>strict_conservative_shortlist</x:v>
      </x:c>
      <x:c r="I9" s="71" t="b">
        <x:v>1</x:v>
      </x:c>
      <x:c r="J9" s="71" t="b">
        <x:v>1</x:v>
      </x:c>
      <x:c r="K9" s="72" t="n">
        <x:v>-0.72974205</x:v>
      </x:c>
      <x:c r="L9" s="72" t="n">
        <x:v>0.2092361</x:v>
      </x:c>
      <x:c r="M9" s="72" t="n">
        <x:v>0.28405604</x:v>
      </x:c>
      <x:c r="N9" s="72" t="n">
        <x:v>-1.6123555</x:v>
      </x:c>
      <x:c r="O9" s="72" t="n">
        <x:v>1.8590015</x:v>
      </x:c>
      <x:c r="P9" s="72" t="n">
        <x:v>0.11331805</x:v>
      </x:c>
      <x:c r="Q9" s="71" t="b">
        <x:v>0</x:v>
      </x:c>
      <x:c r="R9" s="80" t="str">
        <x:v>package_and_qc</x:v>
      </x:c>
      <x:c r="S9" s="80" t="str">
        <x:v>advance_if_stage_1_passes</x:v>
      </x:c>
      <x:c r="T9" s="82" t="str">
        <x:v>rank_after_stage_2; test top 4-6</x:v>
      </x:c>
    </x:row>
    <x:row r="10">
      <x:c r="A10" s="68" t="str">
        <x:v>CAND-005</x:v>
      </x:c>
      <x:c r="B10" s="69" t="str">
        <x:v>VIRT_0021746</x:v>
      </x:c>
      <x:c r="C10" s="69" t="str">
        <x:v>KKDGQEG</x:v>
      </x:c>
      <x:c r="D10" s="69" t="str">
        <x:v>computational_candidate</x:v>
      </x:c>
      <x:c r="E10" s="69" t="str">
        <x:v>Tier 1</x:v>
      </x:c>
      <x:c r="F10" s="69" t="str">
        <x:v>balanced</x:v>
      </x:c>
      <x:c r="G10" s="70" t="n">
        <x:v>2</x:v>
      </x:c>
      <x:c r="H10" s="80" t="str">
        <x:v>strict_conservative_shortlist</x:v>
      </x:c>
      <x:c r="I10" s="71" t="b">
        <x:v>1</x:v>
      </x:c>
      <x:c r="J10" s="71" t="b">
        <x:v>0</x:v>
      </x:c>
      <x:c r="K10" s="72" t="n">
        <x:v>-0.61159515</x:v>
      </x:c>
      <x:c r="L10" s="72" t="n">
        <x:v>0.069387354</x:v>
      </x:c>
      <x:c r="M10" s="72" t="n">
        <x:v>0.15574151</x:v>
      </x:c>
      <x:c r="N10" s="72" t="n">
        <x:v>-1.4830987</x:v>
      </x:c>
      <x:c r="O10" s="72" t="n">
        <x:v>1.5956632</x:v>
      </x:c>
      <x:c r="P10" s="72" t="n">
        <x:v>0.13910152</x:v>
      </x:c>
      <x:c r="Q10" s="71" t="b">
        <x:v>0</x:v>
      </x:c>
      <x:c r="R10" s="80" t="str">
        <x:v>package_and_qc</x:v>
      </x:c>
      <x:c r="S10" s="80" t="str">
        <x:v>advance_if_stage_1_passes</x:v>
      </x:c>
      <x:c r="T10" s="82" t="str">
        <x:v>rank_after_stage_2; test top 4-6</x:v>
      </x:c>
    </x:row>
    <x:row r="11">
      <x:c r="A11" s="68" t="str">
        <x:v>CAND-006</x:v>
      </x:c>
      <x:c r="B11" s="69" t="str">
        <x:v>VIRT_0448997</x:v>
      </x:c>
      <x:c r="C11" s="69" t="str">
        <x:v>QGSGKEG</x:v>
      </x:c>
      <x:c r="D11" s="69" t="str">
        <x:v>computational_candidate</x:v>
      </x:c>
      <x:c r="E11" s="69" t="str">
        <x:v>Tier 1</x:v>
      </x:c>
      <x:c r="F11" s="69" t="str">
        <x:v>balanced</x:v>
      </x:c>
      <x:c r="G11" s="70" t="n">
        <x:v>3</x:v>
      </x:c>
      <x:c r="H11" s="80" t="str">
        <x:v>strict_conservative_shortlist</x:v>
      </x:c>
      <x:c r="I11" s="71" t="b">
        <x:v>1</x:v>
      </x:c>
      <x:c r="J11" s="71" t="b">
        <x:v>0</x:v>
      </x:c>
      <x:c r="K11" s="72" t="n">
        <x:v>-0.5942073</x:v>
      </x:c>
      <x:c r="L11" s="72" t="n">
        <x:v>0.11651877</x:v>
      </x:c>
      <x:c r="M11" s="72" t="n">
        <x:v>0.12734513</x:v>
      </x:c>
      <x:c r="N11" s="72" t="n">
        <x:v>-1.0255501</x:v>
      </x:c>
      <x:c r="O11" s="72" t="n">
        <x:v>1.147482</x:v>
      </x:c>
      <x:c r="P11" s="72" t="n">
        <x:v>0.13957122</x:v>
      </x:c>
      <x:c r="Q11" s="71" t="b">
        <x:v>0</x:v>
      </x:c>
      <x:c r="R11" s="80" t="str">
        <x:v>package_and_qc</x:v>
      </x:c>
      <x:c r="S11" s="80" t="str">
        <x:v>advance_if_stage_1_passes</x:v>
      </x:c>
      <x:c r="T11" s="82" t="str">
        <x:v>rank_after_stage_2; test top 4-6</x:v>
      </x:c>
    </x:row>
    <x:row r="12">
      <x:c r="A12" s="68" t="str">
        <x:v>CAND-007</x:v>
      </x:c>
      <x:c r="B12" s="69" t="str">
        <x:v>VIRT_0423559</x:v>
      </x:c>
      <x:c r="C12" s="69" t="str">
        <x:v>GAKGGEG</x:v>
      </x:c>
      <x:c r="D12" s="69" t="str">
        <x:v>computational_candidate</x:v>
      </x:c>
      <x:c r="E12" s="69" t="str">
        <x:v>Tier 1</x:v>
      </x:c>
      <x:c r="F12" s="69" t="str">
        <x:v>low_liver</x:v>
      </x:c>
      <x:c r="G12" s="70" t="n">
        <x:v>3</x:v>
      </x:c>
      <x:c r="H12" s="80" t="str">
        <x:v>strict_conservative_shortlist</x:v>
      </x:c>
      <x:c r="I12" s="71" t="b">
        <x:v>1</x:v>
      </x:c>
      <x:c r="J12" s="71" t="b">
        <x:v>0</x:v>
      </x:c>
      <x:c r="K12" s="72" t="n">
        <x:v>-0.456048</x:v>
      </x:c>
      <x:c r="L12" s="72" t="n">
        <x:v>0.15008023</x:v>
      </x:c>
      <x:c r="M12" s="72" t="n">
        <x:v>0.14423624</x:v>
      </x:c>
      <x:c r="N12" s="72" t="n">
        <x:v>-1.0887626</x:v>
      </x:c>
      <x:c r="O12" s="72" t="n">
        <x:v>1.2359209</x:v>
      </x:c>
      <x:c r="P12" s="72" t="n">
        <x:v>0.06982549</x:v>
      </x:c>
      <x:c r="Q12" s="71" t="b">
        <x:v>0</x:v>
      </x:c>
      <x:c r="R12" s="80" t="str">
        <x:v>package_and_qc</x:v>
      </x:c>
      <x:c r="S12" s="80" t="str">
        <x:v>advance_if_stage_1_passes</x:v>
      </x:c>
      <x:c r="T12" s="82" t="str">
        <x:v>rank_after_stage_2; test top 4-6</x:v>
      </x:c>
    </x:row>
    <x:row r="13">
      <x:c r="A13" s="68" t="str">
        <x:v>CAND-008</x:v>
      </x:c>
      <x:c r="B13" s="69" t="str">
        <x:v>VIRT_0884615</x:v>
      </x:c>
      <x:c r="C13" s="69" t="str">
        <x:v>QQKDKQA</x:v>
      </x:c>
      <x:c r="D13" s="69" t="str">
        <x:v>computational_candidate</x:v>
      </x:c>
      <x:c r="E13" s="69" t="str">
        <x:v>Tier 2</x:v>
      </x:c>
      <x:c r="F13" s="69" t="str">
        <x:v>cns_favoring</x:v>
      </x:c>
      <x:c r="G13" s="70" t="n">
        <x:v>1</x:v>
      </x:c>
      <x:c r="H13" s="80" t="str">
        <x:v>strict_pareto_shortlist</x:v>
      </x:c>
      <x:c r="I13" s="71" t="b">
        <x:v>0</x:v>
      </x:c>
      <x:c r="J13" s="71" t="b">
        <x:v>1</x:v>
      </x:c>
      <x:c r="K13" s="72" t="n">
        <x:v>-0.72519016</x:v>
      </x:c>
      <x:c r="L13" s="72" t="n">
        <x:v>0.3331379</x:v>
      </x:c>
      <x:c r="M13" s="72" t="n">
        <x:v>0.30518484</x:v>
      </x:c>
      <x:c r="N13" s="72" t="n">
        <x:v>-0.005037463</x:v>
      </x:c>
      <x:c r="O13" s="72" t="n">
        <x:v>0.3241988</x:v>
      </x:c>
      <x:c r="P13" s="72" t="n">
        <x:v>0.058267586</x:v>
      </x:c>
      <x:c r="Q13" s="71" t="b">
        <x:v>0</x:v>
      </x:c>
      <x:c r="R13" s="80" t="str">
        <x:v>package_and_qc</x:v>
      </x:c>
      <x:c r="S13" s="80" t="str">
        <x:v>advance_if_stage_1_passes</x:v>
      </x:c>
      <x:c r="T13" s="82" t="str">
        <x:v>rank_after_stage_2; test top 4-6</x:v>
      </x:c>
    </x:row>
    <x:row r="14">
      <x:c r="A14" s="68" t="str">
        <x:v>CAND-009</x:v>
      </x:c>
      <x:c r="B14" s="69" t="str">
        <x:v>VIRT_0208199</x:v>
      </x:c>
      <x:c r="C14" s="69" t="str">
        <x:v>RAKREEE</x:v>
      </x:c>
      <x:c r="D14" s="69" t="str">
        <x:v>computational_candidate</x:v>
      </x:c>
      <x:c r="E14" s="69" t="str">
        <x:v>Tier 2</x:v>
      </x:c>
      <x:c r="F14" s="69" t="str">
        <x:v>low_liver</x:v>
      </x:c>
      <x:c r="G14" s="70" t="n">
        <x:v>10</x:v>
      </x:c>
      <x:c r="H14" s="80" t="str">
        <x:v>strict_pareto_shortlist</x:v>
      </x:c>
      <x:c r="I14" s="71" t="b">
        <x:v>0</x:v>
      </x:c>
      <x:c r="J14" s="71" t="b">
        <x:v>1</x:v>
      </x:c>
      <x:c r="K14" s="72" t="n">
        <x:v>-0.7663903</x:v>
      </x:c>
      <x:c r="L14" s="72" t="n">
        <x:v>-0.9817778</x:v>
      </x:c>
      <x:c r="M14" s="72" t="n">
        <x:v>-0.6410416</x:v>
      </x:c>
      <x:c r="N14" s="72" t="n">
        <x:v>0.11752665</x:v>
      </x:c>
      <x:c r="O14" s="72" t="n">
        <x:v>-0.92893636</x:v>
      </x:c>
      <x:c r="P14" s="72" t="n">
        <x:v>0.20888536</x:v>
      </x:c>
      <x:c r="Q14" s="71" t="b">
        <x:v>0</x:v>
      </x:c>
      <x:c r="R14" s="80" t="str">
        <x:v>package_and_qc</x:v>
      </x:c>
      <x:c r="S14" s="80" t="str">
        <x:v>advance_if_stage_1_passes</x:v>
      </x:c>
      <x:c r="T14" s="82" t="str">
        <x:v>rank_after_stage_2; test top 4-6</x:v>
      </x:c>
    </x:row>
    <x:row r="15">
      <x:c r="A15" s="68" t="str">
        <x:v>CAND-010</x:v>
      </x:c>
      <x:c r="B15" s="69" t="str">
        <x:v>VIRT_0064588</x:v>
      </x:c>
      <x:c r="C15" s="69" t="str">
        <x:v>QPKKEDG</x:v>
      </x:c>
      <x:c r="D15" s="69" t="str">
        <x:v>computational_candidate</x:v>
      </x:c>
      <x:c r="E15" s="69" t="str">
        <x:v>Tier 3</x:v>
      </x:c>
      <x:c r="F15" s="69" t="str">
        <x:v>balanced</x:v>
      </x:c>
      <x:c r="G15" s="70" t="n">
        <x:v>4</x:v>
      </x:c>
      <x:c r="H15" s="80" t="str">
        <x:v>diverse_high_scoring_near_front</x:v>
      </x:c>
      <x:c r="I15" s="71" t="b">
        <x:v>0</x:v>
      </x:c>
      <x:c r="J15" s="71" t="b">
        <x:v>0</x:v>
      </x:c>
      <x:c r="K15" s="72" t="n">
        <x:v>-0.76234627</x:v>
      </x:c>
      <x:c r="L15" s="72" t="n">
        <x:v>-0.028861914</x:v>
      </x:c>
      <x:c r="M15" s="72" t="n">
        <x:v>0.03987307</x:v>
      </x:c>
      <x:c r="N15" s="72" t="n">
        <x:v>-0.6748882</x:v>
      </x:c>
      <x:c r="O15" s="72" t="n">
        <x:v>0.68039376</x:v>
      </x:c>
      <x:c r="P15" s="72" t="n">
        <x:v>0.10124578</x:v>
      </x:c>
      <x:c r="Q15" s="71" t="b">
        <x:v>0</x:v>
      </x:c>
      <x:c r="R15" s="80" t="str">
        <x:v>package_and_qc</x:v>
      </x:c>
      <x:c r="S15" s="80" t="str">
        <x:v>advance_if_stage_1_passes</x:v>
      </x:c>
      <x:c r="T15" s="82" t="str">
        <x:v>rank_after_stage_2; test top 4-6</x:v>
      </x:c>
    </x:row>
    <x:row r="16">
      <x:c r="A16" s="68" t="str">
        <x:v>CAND-011</x:v>
      </x:c>
      <x:c r="B16" s="69" t="str">
        <x:v>VIRT_0120237</x:v>
      </x:c>
      <x:c r="C16" s="69" t="str">
        <x:v>VKGKTDE</x:v>
      </x:c>
      <x:c r="D16" s="69" t="str">
        <x:v>computational_candidate</x:v>
      </x:c>
      <x:c r="E16" s="69" t="str">
        <x:v>Tier 3</x:v>
      </x:c>
      <x:c r="F16" s="69" t="str">
        <x:v>balanced</x:v>
      </x:c>
      <x:c r="G16" s="70" t="n">
        <x:v>5</x:v>
      </x:c>
      <x:c r="H16" s="80" t="str">
        <x:v>diverse_high_scoring_near_front</x:v>
      </x:c>
      <x:c r="I16" s="71" t="b">
        <x:v>0</x:v>
      </x:c>
      <x:c r="J16" s="71" t="b">
        <x:v>0</x:v>
      </x:c>
      <x:c r="K16" s="72" t="n">
        <x:v>-0.7136531</x:v>
      </x:c>
      <x:c r="L16" s="72" t="n">
        <x:v>-0.002469054</x:v>
      </x:c>
      <x:c r="M16" s="72" t="n">
        <x:v>0.05688879</x:v>
      </x:c>
      <x:c r="N16" s="72" t="n">
        <x:v>-0.56872874</x:v>
      </x:c>
      <x:c r="O16" s="72" t="n">
        <x:v>0.5959386</x:v>
      </x:c>
      <x:c r="P16" s="72" t="n">
        <x:v>0.13223422</x:v>
      </x:c>
      <x:c r="Q16" s="71" t="b">
        <x:v>0</x:v>
      </x:c>
      <x:c r="R16" s="80" t="str">
        <x:v>package_and_qc</x:v>
      </x:c>
      <x:c r="S16" s="80" t="str">
        <x:v>advance_if_stage_1_passes</x:v>
      </x:c>
      <x:c r="T16" s="82" t="str">
        <x:v>rank_after_stage_2; test top 4-6</x:v>
      </x:c>
    </x:row>
    <x:row r="17">
      <x:c r="A17" s="68" t="str">
        <x:v>CAND-012</x:v>
      </x:c>
      <x:c r="B17" s="69" t="str">
        <x:v>VIRT_0122136</x:v>
      </x:c>
      <x:c r="C17" s="69" t="str">
        <x:v>NPKRSEE</x:v>
      </x:c>
      <x:c r="D17" s="69" t="str">
        <x:v>computational_candidate</x:v>
      </x:c>
      <x:c r="E17" s="69" t="str">
        <x:v>Tier 3</x:v>
      </x:c>
      <x:c r="F17" s="69" t="str">
        <x:v>balanced</x:v>
      </x:c>
      <x:c r="G17" s="70" t="n">
        <x:v>6</x:v>
      </x:c>
      <x:c r="H17" s="80" t="str">
        <x:v>diverse_high_scoring_near_front</x:v>
      </x:c>
      <x:c r="I17" s="71" t="b">
        <x:v>0</x:v>
      </x:c>
      <x:c r="J17" s="71" t="b">
        <x:v>0</x:v>
      </x:c>
      <x:c r="K17" s="72" t="n">
        <x:v>-0.76556826</x:v>
      </x:c>
      <x:c r="L17" s="72" t="n">
        <x:v>-0.054576784</x:v>
      </x:c>
      <x:c r="M17" s="72" t="n">
        <x:v>-0.0028279498</x:v>
      </x:c>
      <x:c r="N17" s="72" t="n">
        <x:v>-0.46804613</x:v>
      </x:c>
      <x:c r="O17" s="72" t="n">
        <x:v>0.43934375</x:v>
      </x:c>
      <x:c r="P17" s="72" t="n">
        <x:v>0.092280805</x:v>
      </x:c>
      <x:c r="Q17" s="71" t="b">
        <x:v>0</x:v>
      </x:c>
      <x:c r="R17" s="80" t="str">
        <x:v>package_and_qc</x:v>
      </x:c>
      <x:c r="S17" s="80" t="str">
        <x:v>advance_if_stage_1_passes</x:v>
      </x:c>
      <x:c r="T17" s="82" t="str">
        <x:v>rank_after_stage_2; test top 4-6</x:v>
      </x:c>
    </x:row>
    <x:row r="18">
      <x:c r="A18" s="68" t="str">
        <x:v>CAND-013</x:v>
      </x:c>
      <x:c r="B18" s="69" t="str">
        <x:v>VIRT_0375913</x:v>
      </x:c>
      <x:c r="C18" s="69" t="str">
        <x:v>TGNGGKV</x:v>
      </x:c>
      <x:c r="D18" s="69" t="str">
        <x:v>computational_candidate</x:v>
      </x:c>
      <x:c r="E18" s="69" t="str">
        <x:v>Tier 3</x:v>
      </x:c>
      <x:c r="F18" s="69" t="str">
        <x:v>balanced</x:v>
      </x:c>
      <x:c r="G18" s="70" t="n">
        <x:v>7</x:v>
      </x:c>
      <x:c r="H18" s="80" t="str">
        <x:v>diverse_high_scoring_near_front</x:v>
      </x:c>
      <x:c r="I18" s="71" t="b">
        <x:v>0</x:v>
      </x:c>
      <x:c r="J18" s="71" t="b">
        <x:v>0</x:v>
      </x:c>
      <x:c r="K18" s="72" t="n">
        <x:v>-0.65256596</x:v>
      </x:c>
      <x:c r="L18" s="72" t="n">
        <x:v>0.18264659</x:v>
      </x:c>
      <x:c r="M18" s="72" t="n">
        <x:v>0.14919087</x:v>
      </x:c>
      <x:c r="N18" s="72" t="n">
        <x:v>-0.15026058</x:v>
      </x:c>
      <x:c r="O18" s="72" t="n">
        <x:v>0.31617934</x:v>
      </x:c>
      <x:c r="P18" s="72" t="n">
        <x:v>0.06863417</x:v>
      </x:c>
      <x:c r="Q18" s="71" t="b">
        <x:v>0</x:v>
      </x:c>
      <x:c r="R18" s="80" t="str">
        <x:v>package_and_qc</x:v>
      </x:c>
      <x:c r="S18" s="80" t="str">
        <x:v>advance_if_stage_1_passes</x:v>
      </x:c>
      <x:c r="T18" s="82" t="str">
        <x:v>rank_after_stage_2; test top 4-6</x:v>
      </x:c>
    </x:row>
    <x:row r="19">
      <x:c r="A19" s="68" t="str">
        <x:v>CAND-014</x:v>
      </x:c>
      <x:c r="B19" s="69" t="str">
        <x:v>VIRT_0493595</x:v>
      </x:c>
      <x:c r="C19" s="69" t="str">
        <x:v>KGGNGTP</x:v>
      </x:c>
      <x:c r="D19" s="69" t="str">
        <x:v>computational_candidate</x:v>
      </x:c>
      <x:c r="E19" s="69" t="str">
        <x:v>Tier 3</x:v>
      </x:c>
      <x:c r="F19" s="69" t="str">
        <x:v>balanced</x:v>
      </x:c>
      <x:c r="G19" s="70" t="n">
        <x:v>8</x:v>
      </x:c>
      <x:c r="H19" s="80" t="str">
        <x:v>diverse_high_scoring_near_front</x:v>
      </x:c>
      <x:c r="I19" s="71" t="b">
        <x:v>0</x:v>
      </x:c>
      <x:c r="J19" s="71" t="b">
        <x:v>0</x:v>
      </x:c>
      <x:c r="K19" s="72" t="n">
        <x:v>-0.741312</x:v>
      </x:c>
      <x:c r="L19" s="72" t="n">
        <x:v>0.09083624</x:v>
      </x:c>
      <x:c r="M19" s="72" t="n">
        <x:v>0.003261468</x:v>
      </x:c>
      <x:c r="N19" s="72" t="n">
        <x:v>0.01753372</x:v>
      </x:c>
      <x:c r="O19" s="72" t="n">
        <x:v>0.029515136</x:v>
      </x:c>
      <x:c r="P19" s="72" t="n">
        <x:v>0.09010724</x:v>
      </x:c>
      <x:c r="Q19" s="71" t="b">
        <x:v>0</x:v>
      </x:c>
      <x:c r="R19" s="80" t="str">
        <x:v>package_and_qc</x:v>
      </x:c>
      <x:c r="S19" s="80" t="str">
        <x:v>advance_if_stage_1_passes</x:v>
      </x:c>
      <x:c r="T19" s="82" t="str">
        <x:v>rank_after_stage_2; test top 4-6</x:v>
      </x:c>
    </x:row>
    <x:row r="20">
      <x:c r="A20" s="68" t="str">
        <x:v>CAND-015</x:v>
      </x:c>
      <x:c r="B20" s="69" t="str">
        <x:v>VIRT_0780364</x:v>
      </x:c>
      <x:c r="C20" s="69" t="str">
        <x:v>HKAEGKA</x:v>
      </x:c>
      <x:c r="D20" s="69" t="str">
        <x:v>computational_candidate</x:v>
      </x:c>
      <x:c r="E20" s="69" t="str">
        <x:v>Tier 3</x:v>
      </x:c>
      <x:c r="F20" s="69" t="str">
        <x:v>balanced</x:v>
      </x:c>
      <x:c r="G20" s="70" t="n">
        <x:v>9</x:v>
      </x:c>
      <x:c r="H20" s="80" t="str">
        <x:v>diverse_high_scoring_near_front</x:v>
      </x:c>
      <x:c r="I20" s="71" t="b">
        <x:v>0</x:v>
      </x:c>
      <x:c r="J20" s="71" t="b">
        <x:v>0</x:v>
      </x:c>
      <x:c r="K20" s="72" t="n">
        <x:v>-0.72034264</x:v>
      </x:c>
      <x:c r="L20" s="72" t="n">
        <x:v>0.10309712</x:v>
      </x:c>
      <x:c r="M20" s="72" t="n">
        <x:v>0.13547516</x:v>
      </x:c>
      <x:c r="N20" s="72" t="n">
        <x:v>0.033395074</x:v>
      </x:c>
      <x:c r="O20" s="72" t="n">
        <x:v>0.08589106</x:v>
      </x:c>
      <x:c r="P20" s="72" t="n">
        <x:v>0.1688437</x:v>
      </x:c>
      <x:c r="Q20" s="71" t="b">
        <x:v>1</x:v>
      </x:c>
      <x:c r="R20" s="80" t="str">
        <x:v>package_and_qc</x:v>
      </x:c>
      <x:c r="S20" s="80" t="str">
        <x:v>advance_if_stage_1_passes</x:v>
      </x:c>
      <x:c r="T20" s="82" t="str">
        <x:v>rank_after_stage_2; test top 4-6</x:v>
      </x:c>
    </x:row>
    <x:row r="21">
      <x:c r="A21" s="68" t="str">
        <x:v>CAND-016</x:v>
      </x:c>
      <x:c r="B21" s="69" t="str">
        <x:v>VIRT_0801120</x:v>
      </x:c>
      <x:c r="C21" s="69" t="str">
        <x:v>TTNGKAA</x:v>
      </x:c>
      <x:c r="D21" s="69" t="str">
        <x:v>computational_candidate</x:v>
      </x:c>
      <x:c r="E21" s="69" t="str">
        <x:v>Tier 3</x:v>
      </x:c>
      <x:c r="F21" s="69" t="str">
        <x:v>balanced</x:v>
      </x:c>
      <x:c r="G21" s="70" t="n">
        <x:v>10</x:v>
      </x:c>
      <x:c r="H21" s="80" t="str">
        <x:v>diverse_high_scoring_near_front</x:v>
      </x:c>
      <x:c r="I21" s="71" t="b">
        <x:v>0</x:v>
      </x:c>
      <x:c r="J21" s="71" t="b">
        <x:v>0</x:v>
      </x:c>
      <x:c r="K21" s="72" t="n">
        <x:v>-0.7266512</x:v>
      </x:c>
      <x:c r="L21" s="72" t="n">
        <x:v>0.15576829</x:v>
      </x:c>
      <x:c r="M21" s="72" t="n">
        <x:v>0.0473159</x:v>
      </x:c>
      <x:c r="N21" s="72" t="n">
        <x:v>0.14474992</x:v>
      </x:c>
      <x:c r="O21" s="72" t="n">
        <x:v>-0.04320783</x:v>
      </x:c>
      <x:c r="P21" s="72" t="n">
        <x:v>0.075188756</x:v>
      </x:c>
      <x:c r="Q21" s="71" t="b">
        <x:v>0</x:v>
      </x:c>
      <x:c r="R21" s="80" t="str">
        <x:v>package_and_qc</x:v>
      </x:c>
      <x:c r="S21" s="80" t="str">
        <x:v>advance_if_stage_1_passes</x:v>
      </x:c>
      <x:c r="T21" s="82" t="str">
        <x:v>rank_after_stage_2; test top 4-6</x:v>
      </x:c>
    </x:row>
    <x:row r="22">
      <x:c r="A22" s="68" t="str">
        <x:v>CAND-017</x:v>
      </x:c>
      <x:c r="B22" s="69" t="str">
        <x:v>VIRT_0037314</x:v>
      </x:c>
      <x:c r="C22" s="69" t="str">
        <x:v>NGTGKGP</x:v>
      </x:c>
      <x:c r="D22" s="69" t="str">
        <x:v>computational_candidate</x:v>
      </x:c>
      <x:c r="E22" s="69" t="str">
        <x:v>Tier 3</x:v>
      </x:c>
      <x:c r="F22" s="69" t="str">
        <x:v>cns_favoring</x:v>
      </x:c>
      <x:c r="G22" s="70" t="n">
        <x:v>2</x:v>
      </x:c>
      <x:c r="H22" s="80" t="str">
        <x:v>diverse_high_scoring_near_front</x:v>
      </x:c>
      <x:c r="I22" s="71" t="b">
        <x:v>0</x:v>
      </x:c>
      <x:c r="J22" s="71" t="b">
        <x:v>0</x:v>
      </x:c>
      <x:c r="K22" s="72" t="n">
        <x:v>-0.7587409</x:v>
      </x:c>
      <x:c r="L22" s="72" t="n">
        <x:v>0.3051746</x:v>
      </x:c>
      <x:c r="M22" s="72" t="n">
        <x:v>0.18869488</x:v>
      </x:c>
      <x:c r="N22" s="72" t="n">
        <x:v>-0.26908007</x:v>
      </x:c>
      <x:c r="O22" s="72" t="n">
        <x:v>0.5160148</x:v>
      </x:c>
      <x:c r="P22" s="72" t="n">
        <x:v>0.053464442</x:v>
      </x:c>
      <x:c r="Q22" s="71" t="b">
        <x:v>0</x:v>
      </x:c>
      <x:c r="R22" s="80" t="str">
        <x:v>package_and_qc</x:v>
      </x:c>
      <x:c r="S22" s="80" t="str">
        <x:v>advance_if_stage_1_passes</x:v>
      </x:c>
      <x:c r="T22" s="82" t="str">
        <x:v>rank_after_stage_2; test top 4-6</x:v>
      </x:c>
    </x:row>
    <x:row r="23">
      <x:c r="A23" s="68" t="str">
        <x:v>CAND-018</x:v>
      </x:c>
      <x:c r="B23" s="69" t="str">
        <x:v>VIRT_0250163</x:v>
      </x:c>
      <x:c r="C23" s="69" t="str">
        <x:v>GGKASQP</x:v>
      </x:c>
      <x:c r="D23" s="69" t="str">
        <x:v>computational_candidate</x:v>
      </x:c>
      <x:c r="E23" s="69" t="str">
        <x:v>Tier 3</x:v>
      </x:c>
      <x:c r="F23" s="69" t="str">
        <x:v>cns_favoring</x:v>
      </x:c>
      <x:c r="G23" s="70" t="n">
        <x:v>4</x:v>
      </x:c>
      <x:c r="H23" s="80" t="str">
        <x:v>diverse_high_scoring_near_front</x:v>
      </x:c>
      <x:c r="I23" s="71" t="b">
        <x:v>0</x:v>
      </x:c>
      <x:c r="J23" s="71" t="b">
        <x:v>0</x:v>
      </x:c>
      <x:c r="K23" s="72" t="n">
        <x:v>-0.6828728</x:v>
      </x:c>
      <x:c r="L23" s="72" t="n">
        <x:v>0.2352536</x:v>
      </x:c>
      <x:c r="M23" s="72" t="n">
        <x:v>0.15269056</x:v>
      </x:c>
      <x:c r="N23" s="72" t="n">
        <x:v>0.20866664</x:v>
      </x:c>
      <x:c r="O23" s="72" t="n">
        <x:v>-0.014694557</x:v>
      </x:c>
      <x:c r="P23" s="72" t="n">
        <x:v>0.06928665</x:v>
      </x:c>
      <x:c r="Q23" s="71" t="b">
        <x:v>0</x:v>
      </x:c>
      <x:c r="R23" s="80" t="str">
        <x:v>package_and_qc</x:v>
      </x:c>
      <x:c r="S23" s="80" t="str">
        <x:v>advance_if_stage_1_passes</x:v>
      </x:c>
      <x:c r="T23" s="82" t="str">
        <x:v>rank_after_stage_2; test top 4-6</x:v>
      </x:c>
    </x:row>
    <x:row r="24">
      <x:c r="A24" s="68" t="str">
        <x:v>CAND-019</x:v>
      </x:c>
      <x:c r="B24" s="69" t="str">
        <x:v>VIRT_0046147</x:v>
      </x:c>
      <x:c r="C24" s="69" t="str">
        <x:v>GKKEGGV</x:v>
      </x:c>
      <x:c r="D24" s="69" t="str">
        <x:v>computational_candidate</x:v>
      </x:c>
      <x:c r="E24" s="69" t="str">
        <x:v>Tier 3</x:v>
      </x:c>
      <x:c r="F24" s="69" t="str">
        <x:v>cns_favoring</x:v>
      </x:c>
      <x:c r="G24" s="70" t="n">
        <x:v>5</x:v>
      </x:c>
      <x:c r="H24" s="80" t="str">
        <x:v>diverse_high_scoring_near_front</x:v>
      </x:c>
      <x:c r="I24" s="71" t="b">
        <x:v>0</x:v>
      </x:c>
      <x:c r="J24" s="71" t="b">
        <x:v>0</x:v>
      </x:c>
      <x:c r="K24" s="72" t="n">
        <x:v>-0.6734047</x:v>
      </x:c>
      <x:c r="L24" s="72" t="n">
        <x:v>0.1459271</x:v>
      </x:c>
      <x:c r="M24" s="72" t="n">
        <x:v>0.20553747</x:v>
      </x:c>
      <x:c r="N24" s="72" t="n">
        <x:v>0.056031775</x:v>
      </x:c>
      <x:c r="O24" s="72" t="n">
        <x:v>0.11970051</x:v>
      </x:c>
      <x:c r="P24" s="72" t="n">
        <x:v>0.15829116</x:v>
      </x:c>
      <x:c r="Q24" s="71" t="b">
        <x:v>0</x:v>
      </x:c>
      <x:c r="R24" s="80" t="str">
        <x:v>package_and_qc</x:v>
      </x:c>
      <x:c r="S24" s="80" t="str">
        <x:v>advance_if_stage_1_passes</x:v>
      </x:c>
      <x:c r="T24" s="82" t="str">
        <x:v>rank_after_stage_2; test top 4-6</x:v>
      </x:c>
    </x:row>
    <x:row r="25">
      <x:c r="A25" s="68" t="str">
        <x:v>CAND-020</x:v>
      </x:c>
      <x:c r="B25" s="69" t="str">
        <x:v>VIRT_0674110</x:v>
      </x:c>
      <x:c r="C25" s="69" t="str">
        <x:v>KPNGSTA</x:v>
      </x:c>
      <x:c r="D25" s="69" t="str">
        <x:v>computational_candidate</x:v>
      </x:c>
      <x:c r="E25" s="69" t="str">
        <x:v>Tier 3</x:v>
      </x:c>
      <x:c r="F25" s="69" t="str">
        <x:v>cns_favoring</x:v>
      </x:c>
      <x:c r="G25" s="70" t="n">
        <x:v>6</x:v>
      </x:c>
      <x:c r="H25" s="80" t="str">
        <x:v>diverse_high_scoring_near_front</x:v>
      </x:c>
      <x:c r="I25" s="71" t="b">
        <x:v>0</x:v>
      </x:c>
      <x:c r="J25" s="71" t="b">
        <x:v>0</x:v>
      </x:c>
      <x:c r="K25" s="72" t="n">
        <x:v>-0.68853426</x:v>
      </x:c>
      <x:c r="L25" s="72" t="n">
        <x:v>0.21643715</x:v>
      </x:c>
      <x:c r="M25" s="72" t="n">
        <x:v>0.12418858</x:v>
      </x:c>
      <x:c r="N25" s="72" t="n">
        <x:v>-0.04243331</x:v>
      </x:c>
      <x:c r="O25" s="72" t="n">
        <x:v>0.21274617</x:v>
      </x:c>
      <x:c r="P25" s="72" t="n">
        <x:v>0.08603591</x:v>
      </x:c>
      <x:c r="Q25" s="71" t="b">
        <x:v>0</x:v>
      </x:c>
      <x:c r="R25" s="80" t="str">
        <x:v>package_and_qc</x:v>
      </x:c>
      <x:c r="S25" s="80" t="str">
        <x:v>advance_if_stage_1_passes</x:v>
      </x:c>
      <x:c r="T25" s="82" t="str">
        <x:v>rank_after_stage_2; test top 4-6</x:v>
      </x:c>
    </x:row>
    <x:row r="26">
      <x:c r="A26" s="68" t="str">
        <x:v>CAND-021</x:v>
      </x:c>
      <x:c r="B26" s="69" t="str">
        <x:v>VIRT_0172875</x:v>
      </x:c>
      <x:c r="C26" s="69" t="str">
        <x:v>LKNGASA</x:v>
      </x:c>
      <x:c r="D26" s="69" t="str">
        <x:v>computational_candidate</x:v>
      </x:c>
      <x:c r="E26" s="69" t="str">
        <x:v>Tier 3</x:v>
      </x:c>
      <x:c r="F26" s="69" t="str">
        <x:v>cns_favoring</x:v>
      </x:c>
      <x:c r="G26" s="70" t="n">
        <x:v>7</x:v>
      </x:c>
      <x:c r="H26" s="80" t="str">
        <x:v>diverse_high_scoring_near_front</x:v>
      </x:c>
      <x:c r="I26" s="71" t="b">
        <x:v>0</x:v>
      </x:c>
      <x:c r="J26" s="71" t="b">
        <x:v>0</x:v>
      </x:c>
      <x:c r="K26" s="72" t="n">
        <x:v>-0.7503772</x:v>
      </x:c>
      <x:c r="L26" s="72" t="n">
        <x:v>0.23607664</x:v>
      </x:c>
      <x:c r="M26" s="72" t="n">
        <x:v>0.09722526</x:v>
      </x:c>
      <x:c r="N26" s="72" t="n">
        <x:v>0.4131259</x:v>
      </x:c>
      <x:c r="O26" s="72" t="n">
        <x:v>-0.24647495</x:v>
      </x:c>
      <x:c r="P26" s="72" t="n">
        <x:v>0.106269434</x:v>
      </x:c>
      <x:c r="Q26" s="71" t="b">
        <x:v>0</x:v>
      </x:c>
      <x:c r="R26" s="80" t="str">
        <x:v>package_and_qc</x:v>
      </x:c>
      <x:c r="S26" s="80" t="str">
        <x:v>advance_if_stage_1_passes</x:v>
      </x:c>
      <x:c r="T26" s="82" t="str">
        <x:v>rank_after_stage_2; test top 4-6</x:v>
      </x:c>
    </x:row>
    <x:row r="27">
      <x:c r="A27" s="68" t="str">
        <x:v>CAND-022</x:v>
      </x:c>
      <x:c r="B27" s="69" t="str">
        <x:v>VIRT_0324177</x:v>
      </x:c>
      <x:c r="C27" s="69" t="str">
        <x:v>QGGGSKV</x:v>
      </x:c>
      <x:c r="D27" s="69" t="str">
        <x:v>computational_candidate</x:v>
      </x:c>
      <x:c r="E27" s="69" t="str">
        <x:v>Tier 3</x:v>
      </x:c>
      <x:c r="F27" s="69" t="str">
        <x:v>cns_favoring</x:v>
      </x:c>
      <x:c r="G27" s="70" t="n">
        <x:v>8</x:v>
      </x:c>
      <x:c r="H27" s="80" t="str">
        <x:v>diverse_high_scoring_near_front</x:v>
      </x:c>
      <x:c r="I27" s="71" t="b">
        <x:v>0</x:v>
      </x:c>
      <x:c r="J27" s="71" t="b">
        <x:v>0</x:v>
      </x:c>
      <x:c r="K27" s="72" t="n">
        <x:v>-0.75726414</x:v>
      </x:c>
      <x:c r="L27" s="72" t="n">
        <x:v>0.15864974</x:v>
      </x:c>
      <x:c r="M27" s="72" t="n">
        <x:v>0.14624318</x:v>
      </x:c>
      <x:c r="N27" s="72" t="n">
        <x:v>0.069203734</x:v>
      </x:c>
      <x:c r="O27" s="72" t="n">
        <x:v>0.08324273</x:v>
      </x:c>
      <x:c r="P27" s="72" t="n">
        <x:v>0.082383156</x:v>
      </x:c>
      <x:c r="Q27" s="71" t="b">
        <x:v>0</x:v>
      </x:c>
      <x:c r="R27" s="80" t="str">
        <x:v>package_and_qc</x:v>
      </x:c>
      <x:c r="S27" s="80" t="str">
        <x:v>advance_if_stage_1_passes</x:v>
      </x:c>
      <x:c r="T27" s="82" t="str">
        <x:v>rank_after_stage_2; test top 4-6</x:v>
      </x:c>
    </x:row>
    <x:row r="28">
      <x:c r="A28" s="68" t="str">
        <x:v>CAND-023</x:v>
      </x:c>
      <x:c r="B28" s="69" t="str">
        <x:v>VIRT_0292763</x:v>
      </x:c>
      <x:c r="C28" s="69" t="str">
        <x:v>NPSKTQA</x:v>
      </x:c>
      <x:c r="D28" s="69" t="str">
        <x:v>computational_candidate</x:v>
      </x:c>
      <x:c r="E28" s="69" t="str">
        <x:v>Tier 3</x:v>
      </x:c>
      <x:c r="F28" s="69" t="str">
        <x:v>cns_favoring</x:v>
      </x:c>
      <x:c r="G28" s="70" t="n">
        <x:v>9</x:v>
      </x:c>
      <x:c r="H28" s="80" t="str">
        <x:v>diverse_high_scoring_near_front</x:v>
      </x:c>
      <x:c r="I28" s="71" t="b">
        <x:v>0</x:v>
      </x:c>
      <x:c r="J28" s="71" t="b">
        <x:v>0</x:v>
      </x:c>
      <x:c r="K28" s="72" t="n">
        <x:v>-0.7558317</x:v>
      </x:c>
      <x:c r="L28" s="72" t="n">
        <x:v>0.16984268</x:v>
      </x:c>
      <x:c r="M28" s="72" t="n">
        <x:v>0.09939519</x:v>
      </x:c>
      <x:c r="N28" s="72" t="n">
        <x:v>0.19055688</x:v>
      </x:c>
      <x:c r="O28" s="72" t="n">
        <x:v>-0.055937946</x:v>
      </x:c>
      <x:c r="P28" s="72" t="n">
        <x:v>0.08932246</x:v>
      </x:c>
      <x:c r="Q28" s="71" t="b">
        <x:v>0</x:v>
      </x:c>
      <x:c r="R28" s="80" t="str">
        <x:v>package_and_qc</x:v>
      </x:c>
      <x:c r="S28" s="80" t="str">
        <x:v>advance_if_stage_1_passes</x:v>
      </x:c>
      <x:c r="T28" s="82" t="str">
        <x:v>rank_after_stage_2; test top 4-6</x:v>
      </x:c>
    </x:row>
    <x:row r="29">
      <x:c r="A29" s="68" t="str">
        <x:v>CAND-024</x:v>
      </x:c>
      <x:c r="B29" s="69" t="str">
        <x:v>VIRT_0445785</x:v>
      </x:c>
      <x:c r="C29" s="69" t="str">
        <x:v>HSKGSGA</x:v>
      </x:c>
      <x:c r="D29" s="69" t="str">
        <x:v>computational_candidate</x:v>
      </x:c>
      <x:c r="E29" s="69" t="str">
        <x:v>Tier 3</x:v>
      </x:c>
      <x:c r="F29" s="69" t="str">
        <x:v>cns_favoring</x:v>
      </x:c>
      <x:c r="G29" s="70" t="n">
        <x:v>10</x:v>
      </x:c>
      <x:c r="H29" s="80" t="str">
        <x:v>diverse_high_scoring_near_front</x:v>
      </x:c>
      <x:c r="I29" s="71" t="b">
        <x:v>0</x:v>
      </x:c>
      <x:c r="J29" s="71" t="b">
        <x:v>0</x:v>
      </x:c>
      <x:c r="K29" s="72" t="n">
        <x:v>-0.66491795</x:v>
      </x:c>
      <x:c r="L29" s="72" t="n">
        <x:v>0.19574215</x:v>
      </x:c>
      <x:c r="M29" s="72" t="n">
        <x:v>0.063193224</x:v>
      </x:c>
      <x:c r="N29" s="72" t="n">
        <x:v>0.5907754</x:v>
      </x:c>
      <x:c r="O29" s="72" t="n">
        <x:v>-0.4613077</x:v>
      </x:c>
      <x:c r="P29" s="72" t="n">
        <x:v>0.09881184</x:v>
      </x:c>
      <x:c r="Q29" s="71" t="b">
        <x:v>0</x:v>
      </x:c>
      <x:c r="R29" s="80" t="str">
        <x:v>package_and_qc</x:v>
      </x:c>
      <x:c r="S29" s="80" t="str">
        <x:v>advance_if_stage_1_passes</x:v>
      </x:c>
      <x:c r="T29" s="82" t="str">
        <x:v>rank_after_stage_2; test top 4-6</x:v>
      </x:c>
    </x:row>
    <x:row r="30">
      <x:c r="A30" s="68" t="str">
        <x:v>CAND-025</x:v>
      </x:c>
      <x:c r="B30" s="69" t="str">
        <x:v>VIRT_0264186</x:v>
      </x:c>
      <x:c r="C30" s="69" t="str">
        <x:v>GKNHSEG</x:v>
      </x:c>
      <x:c r="D30" s="69" t="str">
        <x:v>computational_candidate</x:v>
      </x:c>
      <x:c r="E30" s="69" t="str">
        <x:v>Tier 3</x:v>
      </x:c>
      <x:c r="F30" s="69" t="str">
        <x:v>low_liver</x:v>
      </x:c>
      <x:c r="G30" s="70" t="n">
        <x:v>4</x:v>
      </x:c>
      <x:c r="H30" s="80" t="str">
        <x:v>diverse_high_scoring_near_front</x:v>
      </x:c>
      <x:c r="I30" s="71" t="b">
        <x:v>0</x:v>
      </x:c>
      <x:c r="J30" s="71" t="b">
        <x:v>0</x:v>
      </x:c>
      <x:c r="K30" s="72" t="n">
        <x:v>-0.7457142</x:v>
      </x:c>
      <x:c r="L30" s="72" t="n">
        <x:v>0.0009470433</x:v>
      </x:c>
      <x:c r="M30" s="72" t="n">
        <x:v>-0.0021761253</x:v>
      </x:c>
      <x:c r="N30" s="72" t="n">
        <x:v>-0.790256</x:v>
      </x:c>
      <x:c r="O30" s="72" t="n">
        <x:v>0.7896415</x:v>
      </x:c>
      <x:c r="P30" s="72" t="n">
        <x:v>0.12005533</x:v>
      </x:c>
      <x:c r="Q30" s="71" t="b">
        <x:v>0</x:v>
      </x:c>
      <x:c r="R30" s="80" t="str">
        <x:v>package_and_qc</x:v>
      </x:c>
      <x:c r="S30" s="80" t="str">
        <x:v>advance_if_stage_1_passes</x:v>
      </x:c>
      <x:c r="T30" s="82" t="str">
        <x:v>rank_after_stage_2; test top 4-6</x:v>
      </x:c>
    </x:row>
    <x:row r="31">
      <x:c r="A31" s="68" t="str">
        <x:v>CAND-026</x:v>
      </x:c>
      <x:c r="B31" s="69" t="str">
        <x:v>VIRT_0131220</x:v>
      </x:c>
      <x:c r="C31" s="69" t="str">
        <x:v>GGRGGSE</x:v>
      </x:c>
      <x:c r="D31" s="69" t="str">
        <x:v>computational_candidate</x:v>
      </x:c>
      <x:c r="E31" s="69" t="str">
        <x:v>Tier 3</x:v>
      </x:c>
      <x:c r="F31" s="69" t="str">
        <x:v>low_liver</x:v>
      </x:c>
      <x:c r="G31" s="70" t="n">
        <x:v>5</x:v>
      </x:c>
      <x:c r="H31" s="80" t="str">
        <x:v>diverse_high_scoring_near_front</x:v>
      </x:c>
      <x:c r="I31" s="71" t="b">
        <x:v>0</x:v>
      </x:c>
      <x:c r="J31" s="71" t="b">
        <x:v>0</x:v>
      </x:c>
      <x:c r="K31" s="72" t="n">
        <x:v>-0.7599468</x:v>
      </x:c>
      <x:c r="L31" s="72" t="n">
        <x:v>-0.29360956</x:v>
      </x:c>
      <x:c r="M31" s="72" t="n">
        <x:v>-0.24751826</x:v>
      </x:c>
      <x:c r="N31" s="72" t="n">
        <x:v>-0.6406373</x:v>
      </x:c>
      <x:c r="O31" s="72" t="n">
        <x:v>0.37007338</x:v>
      </x:c>
      <x:c r="P31" s="72" t="n">
        <x:v>0.14595859</x:v>
      </x:c>
      <x:c r="Q31" s="71" t="b">
        <x:v>0</x:v>
      </x:c>
      <x:c r="R31" s="80" t="str">
        <x:v>package_and_qc</x:v>
      </x:c>
      <x:c r="S31" s="80" t="str">
        <x:v>advance_if_stage_1_passes</x:v>
      </x:c>
      <x:c r="T31" s="82" t="str">
        <x:v>rank_after_stage_2; test top 4-6</x:v>
      </x:c>
    </x:row>
    <x:row r="32">
      <x:c r="A32" s="68" t="str">
        <x:v>CAND-027</x:v>
      </x:c>
      <x:c r="B32" s="69" t="str">
        <x:v>VIRT_0071974</x:v>
      </x:c>
      <x:c r="C32" s="69" t="str">
        <x:v>QHNKKEE</x:v>
      </x:c>
      <x:c r="D32" s="69" t="str">
        <x:v>computational_candidate</x:v>
      </x:c>
      <x:c r="E32" s="69" t="str">
        <x:v>Tier 3</x:v>
      </x:c>
      <x:c r="F32" s="69" t="str">
        <x:v>low_liver</x:v>
      </x:c>
      <x:c r="G32" s="70" t="n">
        <x:v>6</x:v>
      </x:c>
      <x:c r="H32" s="80" t="str">
        <x:v>diverse_high_scoring_near_front</x:v>
      </x:c>
      <x:c r="I32" s="71" t="b">
        <x:v>0</x:v>
      </x:c>
      <x:c r="J32" s="71" t="b">
        <x:v>0</x:v>
      </x:c>
      <x:c r="K32" s="72" t="n">
        <x:v>-0.7612076</x:v>
      </x:c>
      <x:c r="L32" s="72" t="n">
        <x:v>-0.15154746</x:v>
      </x:c>
      <x:c r="M32" s="72" t="n">
        <x:v>-0.07335576</x:v>
      </x:c>
      <x:c r="N32" s="72" t="n">
        <x:v>-0.59545887</x:v>
      </x:c>
      <x:c r="O32" s="72" t="n">
        <x:v>0.48300725</x:v>
      </x:c>
      <x:c r="P32" s="72" t="n">
        <x:v>0.17153293</x:v>
      </x:c>
      <x:c r="Q32" s="71" t="b">
        <x:v>0</x:v>
      </x:c>
      <x:c r="R32" s="80" t="str">
        <x:v>package_and_qc</x:v>
      </x:c>
      <x:c r="S32" s="80" t="str">
        <x:v>advance_if_stage_1_passes</x:v>
      </x:c>
      <x:c r="T32" s="82" t="str">
        <x:v>rank_after_stage_2; test top 4-6</x:v>
      </x:c>
    </x:row>
    <x:row r="33">
      <x:c r="A33" s="68" t="str">
        <x:v>CAND-028</x:v>
      </x:c>
      <x:c r="B33" s="69" t="str">
        <x:v>VIRT_0126569</x:v>
      </x:c>
      <x:c r="C33" s="69" t="str">
        <x:v>RPPKGDE</x:v>
      </x:c>
      <x:c r="D33" s="69" t="str">
        <x:v>computational_candidate</x:v>
      </x:c>
      <x:c r="E33" s="69" t="str">
        <x:v>Tier 3</x:v>
      </x:c>
      <x:c r="F33" s="69" t="str">
        <x:v>low_liver</x:v>
      </x:c>
      <x:c r="G33" s="70" t="n">
        <x:v>7</x:v>
      </x:c>
      <x:c r="H33" s="80" t="str">
        <x:v>diverse_high_scoring_near_front</x:v>
      </x:c>
      <x:c r="I33" s="71" t="b">
        <x:v>0</x:v>
      </x:c>
      <x:c r="J33" s="71" t="b">
        <x:v>0</x:v>
      </x:c>
      <x:c r="K33" s="72" t="n">
        <x:v>-0.7540798</x:v>
      </x:c>
      <x:c r="L33" s="72" t="n">
        <x:v>-0.2263581</x:v>
      </x:c>
      <x:c r="M33" s="72" t="n">
        <x:v>-0.0449275</x:v>
      </x:c>
      <x:c r="N33" s="72" t="n">
        <x:v>-0.50676835</x:v>
      </x:c>
      <x:c r="O33" s="72" t="n">
        <x:v>0.37112555</x:v>
      </x:c>
      <x:c r="P33" s="72" t="n">
        <x:v>0.11098029</x:v>
      </x:c>
      <x:c r="Q33" s="71" t="b">
        <x:v>0</x:v>
      </x:c>
      <x:c r="R33" s="80" t="str">
        <x:v>package_and_qc</x:v>
      </x:c>
      <x:c r="S33" s="80" t="str">
        <x:v>advance_if_stage_1_passes</x:v>
      </x:c>
      <x:c r="T33" s="82" t="str">
        <x:v>rank_after_stage_2; test top 4-6</x:v>
      </x:c>
    </x:row>
    <x:row r="34">
      <x:c r="A34" s="68" t="str">
        <x:v>CAND-029</x:v>
      </x:c>
      <x:c r="B34" s="69" t="str">
        <x:v>VIRT_0684355</x:v>
      </x:c>
      <x:c r="C34" s="69" t="str">
        <x:v>KKHNGDE</x:v>
      </x:c>
      <x:c r="D34" s="69" t="str">
        <x:v>computational_candidate</x:v>
      </x:c>
      <x:c r="E34" s="69" t="str">
        <x:v>Tier 3</x:v>
      </x:c>
      <x:c r="F34" s="69" t="str">
        <x:v>low_liver</x:v>
      </x:c>
      <x:c r="G34" s="70" t="n">
        <x:v>8</x:v>
      </x:c>
      <x:c r="H34" s="80" t="str">
        <x:v>diverse_high_scoring_near_front</x:v>
      </x:c>
      <x:c r="I34" s="71" t="b">
        <x:v>0</x:v>
      </x:c>
      <x:c r="J34" s="71" t="b">
        <x:v>0</x:v>
      </x:c>
      <x:c r="K34" s="72" t="n">
        <x:v>-0.75135803</x:v>
      </x:c>
      <x:c r="L34" s="72" t="n">
        <x:v>-0.3994093</x:v>
      </x:c>
      <x:c r="M34" s="72" t="n">
        <x:v>-0.28944033</x:v>
      </x:c>
      <x:c r="N34" s="72" t="n">
        <x:v>-0.13811877</x:v>
      </x:c>
      <x:c r="O34" s="72" t="n">
        <x:v>-0.20630604</x:v>
      </x:c>
      <x:c r="P34" s="72" t="n">
        <x:v>0.06906836</x:v>
      </x:c>
      <x:c r="Q34" s="71" t="b">
        <x:v>0</x:v>
      </x:c>
      <x:c r="R34" s="80" t="str">
        <x:v>package_and_qc</x:v>
      </x:c>
      <x:c r="S34" s="80" t="str">
        <x:v>advance_if_stage_1_passes</x:v>
      </x:c>
      <x:c r="T34" s="82" t="str">
        <x:v>rank_after_stage_2; test top 4-6</x:v>
      </x:c>
    </x:row>
    <x:row r="35">
      <x:c r="A35" s="68" t="str">
        <x:v>CAND-030</x:v>
      </x:c>
      <x:c r="B35" s="69" t="str">
        <x:v>VIRT_0520688</x:v>
      </x:c>
      <x:c r="C35" s="69" t="str">
        <x:v>TPKGGTP</x:v>
      </x:c>
      <x:c r="D35" s="69" t="str">
        <x:v>computational_candidate</x:v>
      </x:c>
      <x:c r="E35" s="69" t="str">
        <x:v>Tier 3</x:v>
      </x:c>
      <x:c r="F35" s="69" t="str">
        <x:v>low_liver</x:v>
      </x:c>
      <x:c r="G35" s="70" t="n">
        <x:v>9</x:v>
      </x:c>
      <x:c r="H35" s="80" t="str">
        <x:v>diverse_high_scoring_near_front</x:v>
      </x:c>
      <x:c r="I35" s="71" t="b">
        <x:v>0</x:v>
      </x:c>
      <x:c r="J35" s="71" t="b">
        <x:v>0</x:v>
      </x:c>
      <x:c r="K35" s="72" t="n">
        <x:v>-0.4361782</x:v>
      </x:c>
      <x:c r="L35" s="72" t="n">
        <x:v>0.04683183</x:v>
      </x:c>
      <x:c r="M35" s="72" t="n">
        <x:v>-0.01813826</x:v>
      </x:c>
      <x:c r="N35" s="72" t="n">
        <x:v>0.017176354</x:v>
      </x:c>
      <x:c r="O35" s="72" t="n">
        <x:v>-0.0028295685</x:v>
      </x:c>
      <x:c r="P35" s="72" t="n">
        <x:v>0.09501431</x:v>
      </x:c>
      <x:c r="Q35" s="71" t="b">
        <x:v>0</x:v>
      </x:c>
      <x:c r="R35" s="80" t="str">
        <x:v>package_and_qc</x:v>
      </x:c>
      <x:c r="S35" s="80" t="str">
        <x:v>advance_if_stage_1_passes</x:v>
      </x:c>
      <x:c r="T35" s="82" t="str">
        <x:v>rank_after_stage_2; test top 4-6</x:v>
      </x:c>
    </x:row>
    <x:row r="36">
      <x:c r="A36" s="68" t="str">
        <x:v>CTRL-EMP-01</x:v>
      </x:c>
      <x:c r="B36" s="69" t="str">
        <x:v>CTRL_026</x:v>
      </x:c>
      <x:c r="C36" s="69" t="str">
        <x:v>EMKGLSL</x:v>
      </x:c>
      <x:c r="D36" s="69" t="str">
        <x:v>empirical_directionality_control</x:v>
      </x:c>
      <x:c r="E36" s="69" t="str">
        <x:v>Control</x:v>
      </x:c>
      <x:c r="F36" s="69" t="str">
        <x:v>high_packaging</x:v>
      </x:c>
      <x:c r="G36" s="70" t="n">
        <x:v>1</x:v>
      </x:c>
      <x:c r="H36" s="80" t="str">
        <x:v>extreme_observed_fit4function_control</x:v>
      </x:c>
      <x:c r="I36" s="71" t="b">
        <x:v>0</x:v>
      </x:c>
      <x:c r="J36" s="71" t="b">
        <x:v>0</x:v>
      </x:c>
      <x:c r="K36" s="72" t="n">
        <x:v>-3.192813</x:v>
      </x:c>
      <x:c r="L36" s="72" t="n">
        <x:v>0.36649704</x:v>
      </x:c>
      <x:c r="M36" s="72" t="n">
        <x:v>0.53309387</x:v>
      </x:c>
      <x:c r="N36" s="72" t="n">
        <x:v>-1.8598276</x:v>
      </x:c>
      <x:c r="O36" s="72" t="n">
        <x:v>2.309623</x:v>
      </x:c>
      <x:c r="P36" s="72" t="n">
        <x:v>0.09905573</x:v>
      </x:c>
      <x:c r="Q36" s="71" t="b">
        <x:v>0</x:v>
      </x:c>
      <x:c r="R36" s="80" t="str">
        <x:v>package_and_qc</x:v>
      </x:c>
      <x:c r="S36" s="80" t="str">
        <x:v>assay_as_directionality_control_if_stage_1_passes</x:v>
      </x:c>
      <x:c r="T36" s="82" t="str">
        <x:v>optional; use only if production is adequate</x:v>
      </x:c>
    </x:row>
    <x:row r="37">
      <x:c r="A37" s="68" t="str">
        <x:v>CTRL-EMP-02</x:v>
      </x:c>
      <x:c r="B37" s="69" t="str">
        <x:v>CTRL_001</x:v>
      </x:c>
      <x:c r="C37" s="69" t="str">
        <x:v>NADRGWL</x:v>
      </x:c>
      <x:c r="D37" s="69" t="str">
        <x:v>empirical_directionality_control</x:v>
      </x:c>
      <x:c r="E37" s="69" t="str">
        <x:v>Control</x:v>
      </x:c>
      <x:c r="F37" s="69" t="str">
        <x:v>low_packaging</x:v>
      </x:c>
      <x:c r="G37" s="70" t="n">
        <x:v>1</x:v>
      </x:c>
      <x:c r="H37" s="80" t="str">
        <x:v>extreme_observed_fit4function_control</x:v>
      </x:c>
      <x:c r="I37" s="71" t="b">
        <x:v>0</x:v>
      </x:c>
      <x:c r="J37" s="71" t="b">
        <x:v>0</x:v>
      </x:c>
      <x:c r="K37" s="72" t="n">
        <x:v>-4.754506</x:v>
      </x:c>
      <x:c r="L37" s="72" t="n">
        <x:v>-1.1293919</x:v>
      </x:c>
      <x:c r="M37" s="72" t="n">
        <x:v>-0.8080019</x:v>
      </x:c>
      <x:c r="N37" s="72" t="n">
        <x:v>-0.6633401</x:v>
      </x:c>
      <x:c r="O37" s="72" t="n">
        <x:v>-0.3053568</x:v>
      </x:c>
      <x:c r="P37" s="72" t="n">
        <x:v>0.18825382</x:v>
      </x:c>
      <x:c r="Q37" s="71" t="b">
        <x:v>0</x:v>
      </x:c>
      <x:c r="R37" s="80" t="str">
        <x:v>package_and_qc</x:v>
      </x:c>
      <x:c r="S37" s="80" t="str">
        <x:v>assay_as_directionality_control_if_stage_1_passes</x:v>
      </x:c>
      <x:c r="T37" s="82" t="str">
        <x:v>optional; use only if production is adequate</x:v>
      </x:c>
    </x:row>
    <x:row r="38">
      <x:c r="A38" s="68" t="str">
        <x:v>CTRL-EMP-03</x:v>
      </x:c>
      <x:c r="B38" s="69" t="str">
        <x:v>CTRL_051</x:v>
      </x:c>
      <x:c r="C38" s="69" t="str">
        <x:v>IANTDPN</x:v>
      </x:c>
      <x:c r="D38" s="69" t="str">
        <x:v>empirical_directionality_control</x:v>
      </x:c>
      <x:c r="E38" s="69" t="str">
        <x:v>Control</x:v>
      </x:c>
      <x:c r="F38" s="69" t="str">
        <x:v>cns_high_liver_low</x:v>
      </x:c>
      <x:c r="G38" s="70" t="n">
        <x:v>1</x:v>
      </x:c>
      <x:c r="H38" s="80" t="str">
        <x:v>extreme_observed_fit4function_control</x:v>
      </x:c>
      <x:c r="I38" s="71" t="b">
        <x:v>0</x:v>
      </x:c>
      <x:c r="J38" s="71" t="b">
        <x:v>0</x:v>
      </x:c>
      <x:c r="K38" s="72" t="n">
        <x:v>-3.628694</x:v>
      </x:c>
      <x:c r="L38" s="72" t="n">
        <x:v>0.03391592</x:v>
      </x:c>
      <x:c r="M38" s="72" t="n">
        <x:v>0.22648153</x:v>
      </x:c>
      <x:c r="N38" s="72" t="n">
        <x:v>-2.7168903</x:v>
      </x:c>
      <x:c r="O38" s="72" t="n">
        <x:v>2.847089</x:v>
      </x:c>
      <x:c r="P38" s="72" t="n">
        <x:v>0.086600944</x:v>
      </x:c>
      <x:c r="Q38" s="71" t="b">
        <x:v>0</x:v>
      </x:c>
      <x:c r="R38" s="80" t="str">
        <x:v>package_and_qc</x:v>
      </x:c>
      <x:c r="S38" s="80" t="str">
        <x:v>assay_as_directionality_control_if_stage_1_passes</x:v>
      </x:c>
      <x:c r="T38" s="82" t="str">
        <x:v>optional; use only if production is adequate</x:v>
      </x:c>
    </x:row>
    <x:row r="39">
      <x:c r="A39" s="68" t="str">
        <x:v>CTRL-EMP-04</x:v>
      </x:c>
      <x:c r="B39" s="69" t="str">
        <x:v>CTRL_076</x:v>
      </x:c>
      <x:c r="C39" s="69" t="str">
        <x:v>QVVKFPG</x:v>
      </x:c>
      <x:c r="D39" s="69" t="str">
        <x:v>empirical_directionality_control</x:v>
      </x:c>
      <x:c r="E39" s="69" t="str">
        <x:v>Control</x:v>
      </x:c>
      <x:c r="F39" s="69" t="str">
        <x:v>liver_high_cns_low</x:v>
      </x:c>
      <x:c r="G39" s="70" t="n">
        <x:v>1</x:v>
      </x:c>
      <x:c r="H39" s="80" t="str">
        <x:v>extreme_observed_fit4function_control</x:v>
      </x:c>
      <x:c r="I39" s="71" t="b">
        <x:v>0</x:v>
      </x:c>
      <x:c r="J39" s="71" t="b">
        <x:v>0</x:v>
      </x:c>
      <x:c r="K39" s="72" t="n">
        <x:v>-2.9288101</x:v>
      </x:c>
      <x:c r="L39" s="72" t="n">
        <x:v>-0.4415636</x:v>
      </x:c>
      <x:c r="M39" s="72" t="n">
        <x:v>-0.3204984</x:v>
      </x:c>
      <x:c r="N39" s="72" t="n">
        <x:v>0.582009</x:v>
      </x:c>
      <x:c r="O39" s="72" t="n">
        <x:v>-0.96304</x:v>
      </x:c>
      <x:c r="P39" s="72" t="n">
        <x:v>0.10954126</x:v>
      </x:c>
      <x:c r="Q39" s="71" t="b">
        <x:v>0</x:v>
      </x:c>
      <x:c r="R39" s="80" t="str">
        <x:v>package_and_qc</x:v>
      </x:c>
      <x:c r="S39" s="80" t="str">
        <x:v>assay_as_directionality_control_if_stage_1_passes</x:v>
      </x:c>
      <x:c r="T39" s="82" t="str">
        <x:v>optional; use only if production is adequate</x:v>
      </x:c>
    </x:row>
    <x:row r="40">
      <x:c r="A40" s="68" t="str">
        <x:v>CTRL-PARENT-01</x:v>
      </x:c>
      <x:c r="B40" s="69" t="str">
        <x:v>PARENT_AAV9_K449R</x:v>
      </x:c>
      <x:c r="C40" s="69"/>
      <x:c r="D40" s="69" t="str">
        <x:v>parental_backbone_control</x:v>
      </x:c>
      <x:c r="E40" s="69" t="str">
        <x:v>Control</x:v>
      </x:c>
      <x:c r="F40" s="69" t="str">
        <x:v>parental_control</x:v>
      </x:c>
      <x:c r="G40" s="70" t="n">
        <x:v>1</x:v>
      </x:c>
      <x:c r="H40" s="80" t="str">
        <x:v>same_AAV9_K449R_backbone_without_7mer_insertion</x:v>
      </x:c>
      <x:c r="I40" s="71" t="b">
        <x:v>0</x:v>
      </x:c>
      <x:c r="J40" s="71" t="b">
        <x:v>0</x:v>
      </x:c>
      <x:c r="K40" s="72"/>
      <x:c r="L40" s="72"/>
      <x:c r="M40" s="72"/>
      <x:c r="N40" s="72"/>
      <x:c r="O40" s="72"/>
      <x:c r="P40" s="72"/>
      <x:c r="Q40" s="71" t="b">
        <x:v>0</x:v>
      </x:c>
      <x:c r="R40" s="80" t="str">
        <x:v>package_and_qc</x:v>
      </x:c>
      <x:c r="S40" s="80" t="str">
        <x:v>required_reference</x:v>
      </x:c>
      <x:c r="T40" s="82" t="str">
        <x:v>required_reference</x:v>
      </x:c>
    </x:row>
    <x:row r="41">
      <x:c r="A41" s="68" t="str">
        <x:v>CTRL-AAV9WT-01</x:v>
      </x:c>
      <x:c r="B41" s="69" t="str">
        <x:v>WILD_TYPE_AAV9</x:v>
      </x:c>
      <x:c r="C41" s="69"/>
      <x:c r="D41" s="69" t="str">
        <x:v>external_clinical_context_control</x:v>
      </x:c>
      <x:c r="E41" s="69" t="str">
        <x:v>Control</x:v>
      </x:c>
      <x:c r="F41" s="69" t="str">
        <x:v>external_control</x:v>
      </x:c>
      <x:c r="G41" s="70" t="n">
        <x:v>1</x:v>
      </x:c>
      <x:c r="H41" s="80" t="str">
        <x:v>wild_type_AAV9_context; not interchangeable_with_K449R_parent</x:v>
      </x:c>
      <x:c r="I41" s="71" t="b">
        <x:v>0</x:v>
      </x:c>
      <x:c r="J41" s="71" t="b">
        <x:v>0</x:v>
      </x:c>
      <x:c r="K41" s="72"/>
      <x:c r="L41" s="72"/>
      <x:c r="M41" s="72"/>
      <x:c r="N41" s="72"/>
      <x:c r="O41" s="72"/>
      <x:c r="P41" s="72"/>
      <x:c r="Q41" s="71" t="b">
        <x:v>0</x:v>
      </x:c>
      <x:c r="R41" s="80" t="str">
        <x:v>optional_package_and_qc</x:v>
      </x:c>
      <x:c r="S41" s="80" t="str">
        <x:v>optional_context_reference</x:v>
      </x:c>
      <x:c r="T41" s="82" t="str">
        <x:v>optional_context_reference</x:v>
      </x:c>
    </x:row>
    <x:row r="42">
      <x:c r="A42" s="74" t="str">
        <x:v>CTRL-MOCK-01</x:v>
      </x:c>
      <x:c r="B42" s="75" t="str">
        <x:v>NO_VECTOR_MOCK</x:v>
      </x:c>
      <x:c r="C42" s="75"/>
      <x:c r="D42" s="75" t="str">
        <x:v>negative_control</x:v>
      </x:c>
      <x:c r="E42" s="75" t="str">
        <x:v>Control</x:v>
      </x:c>
      <x:c r="F42" s="75" t="str">
        <x:v>negative_control</x:v>
      </x:c>
      <x:c r="G42" s="76" t="n">
        <x:v>1</x:v>
      </x:c>
      <x:c r="H42" s="81" t="str">
        <x:v>background_and_assay_specificity_control</x:v>
      </x:c>
      <x:c r="I42" s="77" t="b">
        <x:v>0</x:v>
      </x:c>
      <x:c r="J42" s="77" t="b">
        <x:v>0</x:v>
      </x:c>
      <x:c r="K42" s="78"/>
      <x:c r="L42" s="78"/>
      <x:c r="M42" s="78"/>
      <x:c r="N42" s="78"/>
      <x:c r="O42" s="78"/>
      <x:c r="P42" s="78"/>
      <x:c r="Q42" s="77" t="b">
        <x:v>0</x:v>
      </x:c>
      <x:c r="R42" s="81" t="str">
        <x:v>process_blank_where_applicable</x:v>
      </x:c>
      <x:c r="S42" s="81" t="str">
        <x:v>required_negative_control</x:v>
      </x:c>
      <x:c r="T42" s="83" t="str">
        <x:v>required_negative_control</x:v>
      </x:c>
    </x:row>
  </x:sheetData>
  <x:conditionalFormatting sqref="E6:E42">
    <x:cfRule type="containsText" dxfId="0" priority="1" operator="containsText" text="Tier 1"/>
  </x:conditionalFormatting>
  <x:conditionalFormatting sqref="Q6:Q42">
    <x:cfRule type="cellIs" dxfId="1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f814bf8b5e4ef7"/>
  </x:tableParts>
</x:worksheet>
</file>

<file path=xl/worksheets/sheet3.xml><?xml version="1.0" encoding="utf-8"?>
<x:worksheet xmlns:x="http://schemas.openxmlformats.org/spreadsheetml/2006/main">
  <x:sheetPr>
    <x:tabColor rgb="FFD9A441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8" hidden="0" customWidth="1"/>
    <x:col min="9" max="9" width="28" hidden="0" customWidth="1"/>
    <x:col min="10" max="10" width="17" hidden="0" customWidth="1"/>
    <x:col min="11" max="11" width="17" hidden="0" customWidth="1"/>
    <x:col min="12" max="12" width="17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2">
      <x:c r="A2" s="1" t="str">
        <x:v>Long-format result entry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2" t="str">
        <x:v>Enter one measured observation per row. Preserve raw values and units; do not overwrite raw data with normalized values.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 ht="42" customHeight="1">
      <x:c r="A5" s="9" t="str">
        <x:v>study_id</x:v>
      </x:c>
      <x:c r="B5" s="20" t="str">
        <x:v>stage</x:v>
      </x:c>
      <x:c r="C5" s="20" t="str">
        <x:v>sample_id</x:v>
      </x:c>
      <x:c r="D5" s="20" t="str">
        <x:v>blind_id</x:v>
      </x:c>
      <x:c r="E5" s="20" t="str">
        <x:v>production_batch</x:v>
      </x:c>
      <x:c r="F5" s="20" t="str">
        <x:v>biological_replicate</x:v>
      </x:c>
      <x:c r="G5" s="20" t="str">
        <x:v>technical_replicate</x:v>
      </x:c>
      <x:c r="H5" s="20" t="str">
        <x:v>assay</x:v>
      </x:c>
      <x:c r="I5" s="20" t="str">
        <x:v>cell_type_or_tissue</x:v>
      </x:c>
      <x:c r="J5" s="20" t="str">
        <x:v>timepoint</x:v>
      </x:c>
      <x:c r="K5" s="20" t="str">
        <x:v>dose_value</x:v>
      </x:c>
      <x:c r="L5" s="20" t="str">
        <x:v>dose_unit</x:v>
      </x:c>
      <x:c r="M5" s="20" t="str">
        <x:v>raw_value</x:v>
      </x:c>
      <x:c r="N5" s="20" t="str">
        <x:v>raw_unit</x:v>
      </x:c>
      <x:c r="O5" s="20" t="str">
        <x:v>normalized_value</x:v>
      </x:c>
      <x:c r="P5" s="20" t="str">
        <x:v>normalized_unit</x:v>
      </x:c>
      <x:c r="Q5" s="20" t="str">
        <x:v>normalization_reference</x:v>
      </x:c>
      <x:c r="R5" s="20" t="str">
        <x:v>qc_status</x:v>
      </x:c>
      <x:c r="S5" s="20" t="str">
        <x:v>included_in_primary_analysis</x:v>
      </x:c>
      <x:c r="T5" s="20" t="str">
        <x:v>exclusion_reason</x:v>
      </x:c>
      <x:c r="U5" s="20" t="str">
        <x:v>operator_blinded</x:v>
      </x:c>
      <x:c r="V5" s="10" t="str">
        <x:v>notes</x:v>
      </x:c>
    </x:row>
    <x:row r="6" ht="22" customHeight="1">
      <x:c r="A6" s="94"/>
      <x:c r="B6" s="97"/>
      <x:c r="C6" s="97"/>
      <x:c r="D6" s="97"/>
      <x:c r="E6" s="86"/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7"/>
    </x:row>
    <x:row r="7" ht="22" customHeight="1">
      <x:c r="A7" s="95"/>
      <x:c r="B7" s="98"/>
      <x:c r="C7" s="98"/>
      <x:c r="D7" s="98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90"/>
    </x:row>
    <x:row r="8" ht="22" customHeight="1">
      <x:c r="A8" s="95"/>
      <x:c r="B8" s="98"/>
      <x:c r="C8" s="98"/>
      <x:c r="D8" s="98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90"/>
    </x:row>
    <x:row r="9" ht="22" customHeight="1">
      <x:c r="A9" s="95"/>
      <x:c r="B9" s="98"/>
      <x:c r="C9" s="98"/>
      <x:c r="D9" s="98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90"/>
    </x:row>
    <x:row r="10" ht="22" customHeight="1">
      <x:c r="A10" s="95"/>
      <x:c r="B10" s="98"/>
      <x:c r="C10" s="98"/>
      <x:c r="D10" s="98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90"/>
    </x:row>
    <x:row r="11" ht="22" customHeight="1">
      <x:c r="A11" s="95"/>
      <x:c r="B11" s="98"/>
      <x:c r="C11" s="98"/>
      <x:c r="D11" s="98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90"/>
    </x:row>
    <x:row r="12" ht="22" customHeight="1">
      <x:c r="A12" s="95"/>
      <x:c r="B12" s="98"/>
      <x:c r="C12" s="98"/>
      <x:c r="D12" s="98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90"/>
    </x:row>
    <x:row r="13" ht="22" customHeight="1">
      <x:c r="A13" s="95"/>
      <x:c r="B13" s="98"/>
      <x:c r="C13" s="98"/>
      <x:c r="D13" s="98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90"/>
    </x:row>
    <x:row r="14" ht="22" customHeight="1">
      <x:c r="A14" s="95"/>
      <x:c r="B14" s="98"/>
      <x:c r="C14" s="98"/>
      <x:c r="D14" s="98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</x:row>
    <x:row r="15" ht="22" customHeight="1">
      <x:c r="A15" s="95"/>
      <x:c r="B15" s="98"/>
      <x:c r="C15" s="98"/>
      <x:c r="D15" s="98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90"/>
    </x:row>
    <x:row r="16" ht="22" customHeight="1">
      <x:c r="A16" s="95"/>
      <x:c r="B16" s="98"/>
      <x:c r="C16" s="98"/>
      <x:c r="D16" s="98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90"/>
    </x:row>
    <x:row r="17" ht="22" customHeight="1">
      <x:c r="A17" s="95"/>
      <x:c r="B17" s="98"/>
      <x:c r="C17" s="98"/>
      <x:c r="D17" s="98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</x:row>
    <x:row r="18" ht="22" customHeight="1">
      <x:c r="A18" s="95"/>
      <x:c r="B18" s="98"/>
      <x:c r="C18" s="98"/>
      <x:c r="D18" s="98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</x:row>
    <x:row r="19" ht="22" customHeight="1">
      <x:c r="A19" s="95"/>
      <x:c r="B19" s="98"/>
      <x:c r="C19" s="98"/>
      <x:c r="D19" s="98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</x:row>
    <x:row r="20" ht="22" customHeight="1">
      <x:c r="A20" s="95"/>
      <x:c r="B20" s="98"/>
      <x:c r="C20" s="98"/>
      <x:c r="D20" s="98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</x:row>
    <x:row r="21" ht="22" customHeight="1">
      <x:c r="A21" s="95"/>
      <x:c r="B21" s="98"/>
      <x:c r="C21" s="98"/>
      <x:c r="D21" s="98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</x:row>
    <x:row r="22" ht="22" customHeight="1">
      <x:c r="A22" s="95"/>
      <x:c r="B22" s="98"/>
      <x:c r="C22" s="98"/>
      <x:c r="D22" s="98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</x:row>
    <x:row r="23" ht="22" customHeight="1">
      <x:c r="A23" s="95"/>
      <x:c r="B23" s="98"/>
      <x:c r="C23" s="98"/>
      <x:c r="D23" s="98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</x:row>
    <x:row r="24" ht="22" customHeight="1">
      <x:c r="A24" s="95"/>
      <x:c r="B24" s="98"/>
      <x:c r="C24" s="98"/>
      <x:c r="D24" s="98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</x:row>
    <x:row r="25" ht="22" customHeight="1">
      <x:c r="A25" s="95"/>
      <x:c r="B25" s="98"/>
      <x:c r="C25" s="98"/>
      <x:c r="D25" s="98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</x:row>
    <x:row r="26" ht="22" customHeight="1">
      <x:c r="A26" s="95"/>
      <x:c r="B26" s="98"/>
      <x:c r="C26" s="98"/>
      <x:c r="D26" s="98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</x:row>
    <x:row r="27" ht="22" customHeight="1">
      <x:c r="A27" s="95"/>
      <x:c r="B27" s="98"/>
      <x:c r="C27" s="98"/>
      <x:c r="D27" s="98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</x:row>
    <x:row r="28" ht="22" customHeight="1">
      <x:c r="A28" s="95"/>
      <x:c r="B28" s="98"/>
      <x:c r="C28" s="98"/>
      <x:c r="D28" s="98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</x:row>
    <x:row r="29" ht="22" customHeight="1">
      <x:c r="A29" s="95"/>
      <x:c r="B29" s="98"/>
      <x:c r="C29" s="98"/>
      <x:c r="D29" s="98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</x:row>
    <x:row r="30" ht="22" customHeight="1">
      <x:c r="A30" s="95"/>
      <x:c r="B30" s="98"/>
      <x:c r="C30" s="98"/>
      <x:c r="D30" s="98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</x:row>
    <x:row r="31" ht="22" customHeight="1">
      <x:c r="A31" s="95"/>
      <x:c r="B31" s="98"/>
      <x:c r="C31" s="98"/>
      <x:c r="D31" s="98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</x:row>
    <x:row r="32" ht="22" customHeight="1">
      <x:c r="A32" s="95"/>
      <x:c r="B32" s="98"/>
      <x:c r="C32" s="98"/>
      <x:c r="D32" s="98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</x:row>
    <x:row r="33" ht="22" customHeight="1">
      <x:c r="A33" s="95"/>
      <x:c r="B33" s="98"/>
      <x:c r="C33" s="98"/>
      <x:c r="D33" s="98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</x:row>
    <x:row r="34" ht="22" customHeight="1">
      <x:c r="A34" s="95"/>
      <x:c r="B34" s="98"/>
      <x:c r="C34" s="98"/>
      <x:c r="D34" s="98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</x:row>
    <x:row r="35" ht="22" customHeight="1">
      <x:c r="A35" s="95"/>
      <x:c r="B35" s="98"/>
      <x:c r="C35" s="98"/>
      <x:c r="D35" s="98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</x:row>
    <x:row r="36" ht="22" customHeight="1">
      <x:c r="A36" s="95"/>
      <x:c r="B36" s="98"/>
      <x:c r="C36" s="98"/>
      <x:c r="D36" s="98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</x:row>
    <x:row r="37" ht="22" customHeight="1">
      <x:c r="A37" s="95"/>
      <x:c r="B37" s="98"/>
      <x:c r="C37" s="98"/>
      <x:c r="D37" s="98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</x:row>
    <x:row r="38" ht="22" customHeight="1">
      <x:c r="A38" s="95"/>
      <x:c r="B38" s="98"/>
      <x:c r="C38" s="98"/>
      <x:c r="D38" s="98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</x:row>
    <x:row r="39" ht="22" customHeight="1">
      <x:c r="A39" s="95"/>
      <x:c r="B39" s="98"/>
      <x:c r="C39" s="98"/>
      <x:c r="D39" s="98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</x:row>
    <x:row r="40" ht="22" customHeight="1">
      <x:c r="A40" s="95"/>
      <x:c r="B40" s="98"/>
      <x:c r="C40" s="98"/>
      <x:c r="D40" s="98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</x:row>
    <x:row r="41" ht="22" customHeight="1">
      <x:c r="A41" s="95"/>
      <x:c r="B41" s="98"/>
      <x:c r="C41" s="98"/>
      <x:c r="D41" s="98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</x:row>
    <x:row r="42" ht="22" customHeight="1">
      <x:c r="A42" s="95"/>
      <x:c r="B42" s="98"/>
      <x:c r="C42" s="98"/>
      <x:c r="D42" s="98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</x:row>
    <x:row r="43" ht="22" customHeight="1">
      <x:c r="A43" s="95"/>
      <x:c r="B43" s="98"/>
      <x:c r="C43" s="98"/>
      <x:c r="D43" s="98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</x:row>
    <x:row r="44" ht="22" customHeight="1">
      <x:c r="A44" s="95"/>
      <x:c r="B44" s="98"/>
      <x:c r="C44" s="98"/>
      <x:c r="D44" s="98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</x:row>
    <x:row r="45" ht="22" customHeight="1">
      <x:c r="A45" s="95"/>
      <x:c r="B45" s="98"/>
      <x:c r="C45" s="98"/>
      <x:c r="D45" s="98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</x:row>
    <x:row r="46" ht="22" customHeight="1">
      <x:c r="A46" s="95"/>
      <x:c r="B46" s="98"/>
      <x:c r="C46" s="98"/>
      <x:c r="D46" s="98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</x:row>
    <x:row r="47" ht="22" customHeight="1">
      <x:c r="A47" s="95"/>
      <x:c r="B47" s="98"/>
      <x:c r="C47" s="98"/>
      <x:c r="D47" s="98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</x:row>
    <x:row r="48" ht="22" customHeight="1">
      <x:c r="A48" s="95"/>
      <x:c r="B48" s="98"/>
      <x:c r="C48" s="98"/>
      <x:c r="D48" s="98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</x:row>
    <x:row r="49" ht="22" customHeight="1">
      <x:c r="A49" s="95"/>
      <x:c r="B49" s="98"/>
      <x:c r="C49" s="98"/>
      <x:c r="D49" s="98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</x:row>
    <x:row r="50" ht="22" customHeight="1">
      <x:c r="A50" s="95"/>
      <x:c r="B50" s="98"/>
      <x:c r="C50" s="98"/>
      <x:c r="D50" s="98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</x:row>
    <x:row r="51" ht="22" customHeight="1">
      <x:c r="A51" s="95"/>
      <x:c r="B51" s="98"/>
      <x:c r="C51" s="98"/>
      <x:c r="D51" s="98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</x:row>
    <x:row r="52" ht="22" customHeight="1">
      <x:c r="A52" s="95"/>
      <x:c r="B52" s="98"/>
      <x:c r="C52" s="98"/>
      <x:c r="D52" s="98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</x:row>
    <x:row r="53" ht="22" customHeight="1">
      <x:c r="A53" s="95"/>
      <x:c r="B53" s="98"/>
      <x:c r="C53" s="98"/>
      <x:c r="D53" s="98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</x:row>
    <x:row r="54" ht="22" customHeight="1">
      <x:c r="A54" s="95"/>
      <x:c r="B54" s="98"/>
      <x:c r="C54" s="98"/>
      <x:c r="D54" s="98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</x:row>
    <x:row r="55" ht="22" customHeight="1">
      <x:c r="A55" s="95"/>
      <x:c r="B55" s="98"/>
      <x:c r="C55" s="98"/>
      <x:c r="D55" s="98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</x:row>
    <x:row r="56" ht="22" customHeight="1">
      <x:c r="A56" s="95"/>
      <x:c r="B56" s="98"/>
      <x:c r="C56" s="98"/>
      <x:c r="D56" s="98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</x:row>
    <x:row r="57" ht="22" customHeight="1">
      <x:c r="A57" s="95"/>
      <x:c r="B57" s="98"/>
      <x:c r="C57" s="98"/>
      <x:c r="D57" s="98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</x:row>
    <x:row r="58" ht="22" customHeight="1">
      <x:c r="A58" s="95"/>
      <x:c r="B58" s="98"/>
      <x:c r="C58" s="98"/>
      <x:c r="D58" s="98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</x:row>
    <x:row r="59" ht="22" customHeight="1">
      <x:c r="A59" s="95"/>
      <x:c r="B59" s="98"/>
      <x:c r="C59" s="98"/>
      <x:c r="D59" s="98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</x:row>
    <x:row r="60" ht="22" customHeight="1">
      <x:c r="A60" s="95"/>
      <x:c r="B60" s="98"/>
      <x:c r="C60" s="98"/>
      <x:c r="D60" s="98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</x:row>
    <x:row r="61" ht="22" customHeight="1">
      <x:c r="A61" s="95"/>
      <x:c r="B61" s="98"/>
      <x:c r="C61" s="98"/>
      <x:c r="D61" s="98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</x:row>
    <x:row r="62" ht="22" customHeight="1">
      <x:c r="A62" s="95"/>
      <x:c r="B62" s="98"/>
      <x:c r="C62" s="98"/>
      <x:c r="D62" s="98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</x:row>
    <x:row r="63" ht="22" customHeight="1">
      <x:c r="A63" s="95"/>
      <x:c r="B63" s="98"/>
      <x:c r="C63" s="98"/>
      <x:c r="D63" s="98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</x:row>
    <x:row r="64" ht="22" customHeight="1">
      <x:c r="A64" s="95"/>
      <x:c r="B64" s="98"/>
      <x:c r="C64" s="98"/>
      <x:c r="D64" s="98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</x:row>
    <x:row r="65" ht="22" customHeight="1">
      <x:c r="A65" s="95"/>
      <x:c r="B65" s="98"/>
      <x:c r="C65" s="98"/>
      <x:c r="D65" s="98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</x:row>
    <x:row r="66" ht="22" customHeight="1">
      <x:c r="A66" s="95"/>
      <x:c r="B66" s="98"/>
      <x:c r="C66" s="98"/>
      <x:c r="D66" s="98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</x:row>
    <x:row r="67" ht="22" customHeight="1">
      <x:c r="A67" s="95"/>
      <x:c r="B67" s="98"/>
      <x:c r="C67" s="98"/>
      <x:c r="D67" s="98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</x:row>
    <x:row r="68" ht="22" customHeight="1">
      <x:c r="A68" s="95"/>
      <x:c r="B68" s="98"/>
      <x:c r="C68" s="98"/>
      <x:c r="D68" s="98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</x:row>
    <x:row r="69" ht="22" customHeight="1">
      <x:c r="A69" s="95"/>
      <x:c r="B69" s="98"/>
      <x:c r="C69" s="98"/>
      <x:c r="D69" s="98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</x:row>
    <x:row r="70" ht="22" customHeight="1">
      <x:c r="A70" s="95"/>
      <x:c r="B70" s="98"/>
      <x:c r="C70" s="98"/>
      <x:c r="D70" s="98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</x:row>
    <x:row r="71" ht="22" customHeight="1">
      <x:c r="A71" s="95"/>
      <x:c r="B71" s="98"/>
      <x:c r="C71" s="98"/>
      <x:c r="D71" s="98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</x:row>
    <x:row r="72" ht="22" customHeight="1">
      <x:c r="A72" s="95"/>
      <x:c r="B72" s="98"/>
      <x:c r="C72" s="98"/>
      <x:c r="D72" s="98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</x:row>
    <x:row r="73" ht="22" customHeight="1">
      <x:c r="A73" s="95"/>
      <x:c r="B73" s="98"/>
      <x:c r="C73" s="98"/>
      <x:c r="D73" s="98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</x:row>
    <x:row r="74" ht="22" customHeight="1">
      <x:c r="A74" s="95"/>
      <x:c r="B74" s="98"/>
      <x:c r="C74" s="98"/>
      <x:c r="D74" s="98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</x:row>
    <x:row r="75" ht="22" customHeight="1">
      <x:c r="A75" s="95"/>
      <x:c r="B75" s="98"/>
      <x:c r="C75" s="98"/>
      <x:c r="D75" s="98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</x:row>
    <x:row r="76" ht="22" customHeight="1">
      <x:c r="A76" s="95"/>
      <x:c r="B76" s="98"/>
      <x:c r="C76" s="98"/>
      <x:c r="D76" s="98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</x:row>
    <x:row r="77" ht="22" customHeight="1">
      <x:c r="A77" s="95"/>
      <x:c r="B77" s="98"/>
      <x:c r="C77" s="98"/>
      <x:c r="D77" s="98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</x:row>
    <x:row r="78" ht="22" customHeight="1">
      <x:c r="A78" s="95"/>
      <x:c r="B78" s="98"/>
      <x:c r="C78" s="98"/>
      <x:c r="D78" s="98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</x:row>
    <x:row r="79" ht="22" customHeight="1">
      <x:c r="A79" s="95"/>
      <x:c r="B79" s="98"/>
      <x:c r="C79" s="98"/>
      <x:c r="D79" s="98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</x:row>
    <x:row r="80" ht="22" customHeight="1">
      <x:c r="A80" s="95"/>
      <x:c r="B80" s="98"/>
      <x:c r="C80" s="98"/>
      <x:c r="D80" s="98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</x:row>
    <x:row r="81" ht="22" customHeight="1">
      <x:c r="A81" s="95"/>
      <x:c r="B81" s="98"/>
      <x:c r="C81" s="98"/>
      <x:c r="D81" s="98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</x:row>
    <x:row r="82" ht="22" customHeight="1">
      <x:c r="A82" s="95"/>
      <x:c r="B82" s="98"/>
      <x:c r="C82" s="98"/>
      <x:c r="D82" s="98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</x:row>
    <x:row r="83" ht="22" customHeight="1">
      <x:c r="A83" s="95"/>
      <x:c r="B83" s="98"/>
      <x:c r="C83" s="98"/>
      <x:c r="D83" s="98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</x:row>
    <x:row r="84" ht="22" customHeight="1">
      <x:c r="A84" s="95"/>
      <x:c r="B84" s="98"/>
      <x:c r="C84" s="98"/>
      <x:c r="D84" s="98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</x:row>
    <x:row r="85" ht="22" customHeight="1">
      <x:c r="A85" s="95"/>
      <x:c r="B85" s="98"/>
      <x:c r="C85" s="98"/>
      <x:c r="D85" s="98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</x:row>
    <x:row r="86" ht="22" customHeight="1">
      <x:c r="A86" s="95"/>
      <x:c r="B86" s="98"/>
      <x:c r="C86" s="98"/>
      <x:c r="D86" s="98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</x:row>
    <x:row r="87" ht="22" customHeight="1">
      <x:c r="A87" s="95"/>
      <x:c r="B87" s="98"/>
      <x:c r="C87" s="98"/>
      <x:c r="D87" s="98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</x:row>
    <x:row r="88" ht="22" customHeight="1">
      <x:c r="A88" s="95"/>
      <x:c r="B88" s="98"/>
      <x:c r="C88" s="98"/>
      <x:c r="D88" s="98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</x:row>
    <x:row r="89" ht="22" customHeight="1">
      <x:c r="A89" s="95"/>
      <x:c r="B89" s="98"/>
      <x:c r="C89" s="98"/>
      <x:c r="D89" s="98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</x:row>
    <x:row r="90" ht="22" customHeight="1">
      <x:c r="A90" s="95"/>
      <x:c r="B90" s="98"/>
      <x:c r="C90" s="98"/>
      <x:c r="D90" s="98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</x:row>
    <x:row r="91" ht="22" customHeight="1">
      <x:c r="A91" s="95"/>
      <x:c r="B91" s="98"/>
      <x:c r="C91" s="98"/>
      <x:c r="D91" s="98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</x:row>
    <x:row r="92" ht="22" customHeight="1">
      <x:c r="A92" s="95"/>
      <x:c r="B92" s="98"/>
      <x:c r="C92" s="98"/>
      <x:c r="D92" s="98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</x:row>
    <x:row r="93" ht="22" customHeight="1">
      <x:c r="A93" s="95"/>
      <x:c r="B93" s="98"/>
      <x:c r="C93" s="98"/>
      <x:c r="D93" s="98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</x:row>
    <x:row r="94" ht="22" customHeight="1">
      <x:c r="A94" s="95"/>
      <x:c r="B94" s="98"/>
      <x:c r="C94" s="98"/>
      <x:c r="D94" s="98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</x:row>
    <x:row r="95" ht="22" customHeight="1">
      <x:c r="A95" s="95"/>
      <x:c r="B95" s="98"/>
      <x:c r="C95" s="98"/>
      <x:c r="D95" s="98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</x:row>
    <x:row r="96" ht="22" customHeight="1">
      <x:c r="A96" s="95"/>
      <x:c r="B96" s="98"/>
      <x:c r="C96" s="98"/>
      <x:c r="D96" s="98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</x:row>
    <x:row r="97" ht="22" customHeight="1">
      <x:c r="A97" s="95"/>
      <x:c r="B97" s="98"/>
      <x:c r="C97" s="98"/>
      <x:c r="D97" s="98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</x:row>
    <x:row r="98" ht="22" customHeight="1">
      <x:c r="A98" s="95"/>
      <x:c r="B98" s="98"/>
      <x:c r="C98" s="98"/>
      <x:c r="D98" s="98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</x:row>
    <x:row r="99" ht="22" customHeight="1">
      <x:c r="A99" s="95"/>
      <x:c r="B99" s="98"/>
      <x:c r="C99" s="98"/>
      <x:c r="D99" s="98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</x:row>
    <x:row r="100" ht="22" customHeight="1">
      <x:c r="A100" s="95"/>
      <x:c r="B100" s="98"/>
      <x:c r="C100" s="98"/>
      <x:c r="D100" s="98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</x:row>
    <x:row r="101" ht="22" customHeight="1">
      <x:c r="A101" s="95"/>
      <x:c r="B101" s="98"/>
      <x:c r="C101" s="98"/>
      <x:c r="D101" s="98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</x:row>
    <x:row r="102" ht="22" customHeight="1">
      <x:c r="A102" s="95"/>
      <x:c r="B102" s="98"/>
      <x:c r="C102" s="98"/>
      <x:c r="D102" s="98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</x:row>
    <x:row r="103" ht="22" customHeight="1">
      <x:c r="A103" s="95"/>
      <x:c r="B103" s="98"/>
      <x:c r="C103" s="98"/>
      <x:c r="D103" s="98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</x:row>
    <x:row r="104" ht="22" customHeight="1">
      <x:c r="A104" s="95"/>
      <x:c r="B104" s="98"/>
      <x:c r="C104" s="98"/>
      <x:c r="D104" s="98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</x:row>
    <x:row r="105" ht="22" customHeight="1">
      <x:c r="A105" s="95"/>
      <x:c r="B105" s="98"/>
      <x:c r="C105" s="98"/>
      <x:c r="D105" s="98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</x:row>
    <x:row r="106" ht="22" customHeight="1">
      <x:c r="A106" s="95"/>
      <x:c r="B106" s="98"/>
      <x:c r="C106" s="98"/>
      <x:c r="D106" s="98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</x:row>
    <x:row r="107" ht="22" customHeight="1">
      <x:c r="A107" s="95"/>
      <x:c r="B107" s="98"/>
      <x:c r="C107" s="98"/>
      <x:c r="D107" s="98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</x:row>
    <x:row r="108" ht="22" customHeight="1">
      <x:c r="A108" s="95"/>
      <x:c r="B108" s="98"/>
      <x:c r="C108" s="98"/>
      <x:c r="D108" s="98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</x:row>
    <x:row r="109" ht="22" customHeight="1">
      <x:c r="A109" s="95"/>
      <x:c r="B109" s="98"/>
      <x:c r="C109" s="98"/>
      <x:c r="D109" s="98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</x:row>
    <x:row r="110" ht="22" customHeight="1">
      <x:c r="A110" s="95"/>
      <x:c r="B110" s="98"/>
      <x:c r="C110" s="98"/>
      <x:c r="D110" s="98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</x:row>
    <x:row r="111" ht="22" customHeight="1">
      <x:c r="A111" s="95"/>
      <x:c r="B111" s="98"/>
      <x:c r="C111" s="98"/>
      <x:c r="D111" s="98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</x:row>
    <x:row r="112" ht="22" customHeight="1">
      <x:c r="A112" s="95"/>
      <x:c r="B112" s="98"/>
      <x:c r="C112" s="98"/>
      <x:c r="D112" s="98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</x:row>
    <x:row r="113" ht="22" customHeight="1">
      <x:c r="A113" s="95"/>
      <x:c r="B113" s="98"/>
      <x:c r="C113" s="98"/>
      <x:c r="D113" s="98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</x:row>
    <x:row r="114" ht="22" customHeight="1">
      <x:c r="A114" s="95"/>
      <x:c r="B114" s="98"/>
      <x:c r="C114" s="98"/>
      <x:c r="D114" s="98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</x:row>
    <x:row r="115" ht="22" customHeight="1">
      <x:c r="A115" s="95"/>
      <x:c r="B115" s="98"/>
      <x:c r="C115" s="98"/>
      <x:c r="D115" s="98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</x:row>
    <x:row r="116" ht="22" customHeight="1">
      <x:c r="A116" s="95"/>
      <x:c r="B116" s="98"/>
      <x:c r="C116" s="98"/>
      <x:c r="D116" s="98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</x:row>
    <x:row r="117" ht="22" customHeight="1">
      <x:c r="A117" s="95"/>
      <x:c r="B117" s="98"/>
      <x:c r="C117" s="98"/>
      <x:c r="D117" s="98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</x:row>
    <x:row r="118" ht="22" customHeight="1">
      <x:c r="A118" s="95"/>
      <x:c r="B118" s="98"/>
      <x:c r="C118" s="98"/>
      <x:c r="D118" s="98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</x:row>
    <x:row r="119" ht="22" customHeight="1">
      <x:c r="A119" s="95"/>
      <x:c r="B119" s="98"/>
      <x:c r="C119" s="98"/>
      <x:c r="D119" s="98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</x:row>
    <x:row r="120" ht="22" customHeight="1">
      <x:c r="A120" s="95"/>
      <x:c r="B120" s="98"/>
      <x:c r="C120" s="98"/>
      <x:c r="D120" s="98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</x:row>
    <x:row r="121" ht="22" customHeight="1">
      <x:c r="A121" s="95"/>
      <x:c r="B121" s="98"/>
      <x:c r="C121" s="98"/>
      <x:c r="D121" s="98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</x:row>
    <x:row r="122" ht="22" customHeight="1">
      <x:c r="A122" s="95"/>
      <x:c r="B122" s="98"/>
      <x:c r="C122" s="98"/>
      <x:c r="D122" s="98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</x:row>
    <x:row r="123" ht="22" customHeight="1">
      <x:c r="A123" s="95"/>
      <x:c r="B123" s="98"/>
      <x:c r="C123" s="98"/>
      <x:c r="D123" s="98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</x:row>
    <x:row r="124" ht="22" customHeight="1">
      <x:c r="A124" s="95"/>
      <x:c r="B124" s="98"/>
      <x:c r="C124" s="98"/>
      <x:c r="D124" s="98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</x:row>
    <x:row r="125" ht="22" customHeight="1">
      <x:c r="A125" s="95"/>
      <x:c r="B125" s="98"/>
      <x:c r="C125" s="98"/>
      <x:c r="D125" s="98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</x:row>
    <x:row r="126" ht="22" customHeight="1">
      <x:c r="A126" s="95"/>
      <x:c r="B126" s="98"/>
      <x:c r="C126" s="98"/>
      <x:c r="D126" s="98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</x:row>
    <x:row r="127" ht="22" customHeight="1">
      <x:c r="A127" s="95"/>
      <x:c r="B127" s="98"/>
      <x:c r="C127" s="98"/>
      <x:c r="D127" s="98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</x:row>
    <x:row r="128" ht="22" customHeight="1">
      <x:c r="A128" s="95"/>
      <x:c r="B128" s="98"/>
      <x:c r="C128" s="98"/>
      <x:c r="D128" s="98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</x:row>
    <x:row r="129" ht="22" customHeight="1">
      <x:c r="A129" s="95"/>
      <x:c r="B129" s="98"/>
      <x:c r="C129" s="98"/>
      <x:c r="D129" s="98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</x:row>
    <x:row r="130" ht="22" customHeight="1">
      <x:c r="A130" s="95"/>
      <x:c r="B130" s="98"/>
      <x:c r="C130" s="98"/>
      <x:c r="D130" s="98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</x:row>
    <x:row r="131" ht="22" customHeight="1">
      <x:c r="A131" s="95"/>
      <x:c r="B131" s="98"/>
      <x:c r="C131" s="98"/>
      <x:c r="D131" s="98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</x:row>
    <x:row r="132" ht="22" customHeight="1">
      <x:c r="A132" s="95"/>
      <x:c r="B132" s="98"/>
      <x:c r="C132" s="98"/>
      <x:c r="D132" s="98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</x:row>
    <x:row r="133" ht="22" customHeight="1">
      <x:c r="A133" s="95"/>
      <x:c r="B133" s="98"/>
      <x:c r="C133" s="98"/>
      <x:c r="D133" s="98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</x:row>
    <x:row r="134" ht="22" customHeight="1">
      <x:c r="A134" s="95"/>
      <x:c r="B134" s="98"/>
      <x:c r="C134" s="98"/>
      <x:c r="D134" s="98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</x:row>
    <x:row r="135" ht="22" customHeight="1">
      <x:c r="A135" s="95"/>
      <x:c r="B135" s="98"/>
      <x:c r="C135" s="98"/>
      <x:c r="D135" s="98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</x:row>
    <x:row r="136" ht="22" customHeight="1">
      <x:c r="A136" s="95"/>
      <x:c r="B136" s="98"/>
      <x:c r="C136" s="98"/>
      <x:c r="D136" s="98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</x:row>
    <x:row r="137" ht="22" customHeight="1">
      <x:c r="A137" s="95"/>
      <x:c r="B137" s="98"/>
      <x:c r="C137" s="98"/>
      <x:c r="D137" s="98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</x:row>
    <x:row r="138" ht="22" customHeight="1">
      <x:c r="A138" s="95"/>
      <x:c r="B138" s="98"/>
      <x:c r="C138" s="98"/>
      <x:c r="D138" s="98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</x:row>
    <x:row r="139" ht="22" customHeight="1">
      <x:c r="A139" s="95"/>
      <x:c r="B139" s="98"/>
      <x:c r="C139" s="98"/>
      <x:c r="D139" s="98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</x:row>
    <x:row r="140" ht="22" customHeight="1">
      <x:c r="A140" s="95"/>
      <x:c r="B140" s="98"/>
      <x:c r="C140" s="98"/>
      <x:c r="D140" s="98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</x:row>
    <x:row r="141" ht="22" customHeight="1">
      <x:c r="A141" s="95"/>
      <x:c r="B141" s="98"/>
      <x:c r="C141" s="98"/>
      <x:c r="D141" s="98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</x:row>
    <x:row r="142" ht="22" customHeight="1">
      <x:c r="A142" s="95"/>
      <x:c r="B142" s="98"/>
      <x:c r="C142" s="98"/>
      <x:c r="D142" s="98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</x:row>
    <x:row r="143" ht="22" customHeight="1">
      <x:c r="A143" s="95"/>
      <x:c r="B143" s="98"/>
      <x:c r="C143" s="98"/>
      <x:c r="D143" s="98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</x:row>
    <x:row r="144" ht="22" customHeight="1">
      <x:c r="A144" s="95"/>
      <x:c r="B144" s="98"/>
      <x:c r="C144" s="98"/>
      <x:c r="D144" s="98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</x:row>
    <x:row r="145" ht="22" customHeight="1">
      <x:c r="A145" s="95"/>
      <x:c r="B145" s="98"/>
      <x:c r="C145" s="98"/>
      <x:c r="D145" s="98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</x:row>
    <x:row r="146" ht="22" customHeight="1">
      <x:c r="A146" s="95"/>
      <x:c r="B146" s="98"/>
      <x:c r="C146" s="98"/>
      <x:c r="D146" s="98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</x:row>
    <x:row r="147" ht="22" customHeight="1">
      <x:c r="A147" s="95"/>
      <x:c r="B147" s="98"/>
      <x:c r="C147" s="98"/>
      <x:c r="D147" s="98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</x:row>
    <x:row r="148" ht="22" customHeight="1">
      <x:c r="A148" s="95"/>
      <x:c r="B148" s="98"/>
      <x:c r="C148" s="98"/>
      <x:c r="D148" s="98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</x:row>
    <x:row r="149" ht="22" customHeight="1">
      <x:c r="A149" s="95"/>
      <x:c r="B149" s="98"/>
      <x:c r="C149" s="98"/>
      <x:c r="D149" s="98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</x:row>
    <x:row r="150" ht="22" customHeight="1">
      <x:c r="A150" s="95"/>
      <x:c r="B150" s="98"/>
      <x:c r="C150" s="98"/>
      <x:c r="D150" s="98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</x:row>
    <x:row r="151" ht="22" customHeight="1">
      <x:c r="A151" s="95"/>
      <x:c r="B151" s="98"/>
      <x:c r="C151" s="98"/>
      <x:c r="D151" s="98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</x:row>
    <x:row r="152" ht="22" customHeight="1">
      <x:c r="A152" s="95"/>
      <x:c r="B152" s="98"/>
      <x:c r="C152" s="98"/>
      <x:c r="D152" s="98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</x:row>
    <x:row r="153" ht="22" customHeight="1">
      <x:c r="A153" s="95"/>
      <x:c r="B153" s="98"/>
      <x:c r="C153" s="98"/>
      <x:c r="D153" s="98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</x:row>
    <x:row r="154" ht="22" customHeight="1">
      <x:c r="A154" s="95"/>
      <x:c r="B154" s="98"/>
      <x:c r="C154" s="98"/>
      <x:c r="D154" s="98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</x:row>
    <x:row r="155" ht="22" customHeight="1">
      <x:c r="A155" s="95"/>
      <x:c r="B155" s="98"/>
      <x:c r="C155" s="98"/>
      <x:c r="D155" s="98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</x:row>
    <x:row r="156" ht="22" customHeight="1">
      <x:c r="A156" s="95"/>
      <x:c r="B156" s="98"/>
      <x:c r="C156" s="98"/>
      <x:c r="D156" s="98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</x:row>
    <x:row r="157" ht="22" customHeight="1">
      <x:c r="A157" s="95"/>
      <x:c r="B157" s="98"/>
      <x:c r="C157" s="98"/>
      <x:c r="D157" s="98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</x:row>
    <x:row r="158" ht="22" customHeight="1">
      <x:c r="A158" s="95"/>
      <x:c r="B158" s="98"/>
      <x:c r="C158" s="98"/>
      <x:c r="D158" s="98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</x:row>
    <x:row r="159" ht="22" customHeight="1">
      <x:c r="A159" s="95"/>
      <x:c r="B159" s="98"/>
      <x:c r="C159" s="98"/>
      <x:c r="D159" s="98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</x:row>
    <x:row r="160" ht="22" customHeight="1">
      <x:c r="A160" s="95"/>
      <x:c r="B160" s="98"/>
      <x:c r="C160" s="98"/>
      <x:c r="D160" s="98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</x:row>
    <x:row r="161" ht="22" customHeight="1">
      <x:c r="A161" s="95"/>
      <x:c r="B161" s="98"/>
      <x:c r="C161" s="98"/>
      <x:c r="D161" s="98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</x:row>
    <x:row r="162" ht="22" customHeight="1">
      <x:c r="A162" s="95"/>
      <x:c r="B162" s="98"/>
      <x:c r="C162" s="98"/>
      <x:c r="D162" s="98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</x:row>
    <x:row r="163" ht="22" customHeight="1">
      <x:c r="A163" s="95"/>
      <x:c r="B163" s="98"/>
      <x:c r="C163" s="98"/>
      <x:c r="D163" s="98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</x:row>
    <x:row r="164" ht="22" customHeight="1">
      <x:c r="A164" s="95"/>
      <x:c r="B164" s="98"/>
      <x:c r="C164" s="98"/>
      <x:c r="D164" s="98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</x:row>
    <x:row r="165" ht="22" customHeight="1">
      <x:c r="A165" s="95"/>
      <x:c r="B165" s="98"/>
      <x:c r="C165" s="98"/>
      <x:c r="D165" s="98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</x:row>
    <x:row r="166" ht="22" customHeight="1">
      <x:c r="A166" s="95"/>
      <x:c r="B166" s="98"/>
      <x:c r="C166" s="98"/>
      <x:c r="D166" s="98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</x:row>
    <x:row r="167" ht="22" customHeight="1">
      <x:c r="A167" s="95"/>
      <x:c r="B167" s="98"/>
      <x:c r="C167" s="98"/>
      <x:c r="D167" s="98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</x:row>
    <x:row r="168" ht="22" customHeight="1">
      <x:c r="A168" s="95"/>
      <x:c r="B168" s="98"/>
      <x:c r="C168" s="98"/>
      <x:c r="D168" s="98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</x:row>
    <x:row r="169" ht="22" customHeight="1">
      <x:c r="A169" s="95"/>
      <x:c r="B169" s="98"/>
      <x:c r="C169" s="98"/>
      <x:c r="D169" s="98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</x:row>
    <x:row r="170" ht="22" customHeight="1">
      <x:c r="A170" s="95"/>
      <x:c r="B170" s="98"/>
      <x:c r="C170" s="98"/>
      <x:c r="D170" s="98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</x:row>
    <x:row r="171" ht="22" customHeight="1">
      <x:c r="A171" s="95"/>
      <x:c r="B171" s="98"/>
      <x:c r="C171" s="98"/>
      <x:c r="D171" s="98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</x:row>
    <x:row r="172" ht="22" customHeight="1">
      <x:c r="A172" s="95"/>
      <x:c r="B172" s="98"/>
      <x:c r="C172" s="98"/>
      <x:c r="D172" s="98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</x:row>
    <x:row r="173" ht="22" customHeight="1">
      <x:c r="A173" s="95"/>
      <x:c r="B173" s="98"/>
      <x:c r="C173" s="98"/>
      <x:c r="D173" s="98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</x:row>
    <x:row r="174" ht="22" customHeight="1">
      <x:c r="A174" s="95"/>
      <x:c r="B174" s="98"/>
      <x:c r="C174" s="98"/>
      <x:c r="D174" s="98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</x:row>
    <x:row r="175" ht="22" customHeight="1">
      <x:c r="A175" s="95"/>
      <x:c r="B175" s="98"/>
      <x:c r="C175" s="98"/>
      <x:c r="D175" s="98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</x:row>
    <x:row r="176" ht="22" customHeight="1">
      <x:c r="A176" s="95"/>
      <x:c r="B176" s="98"/>
      <x:c r="C176" s="98"/>
      <x:c r="D176" s="98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</x:row>
    <x:row r="177" ht="22" customHeight="1">
      <x:c r="A177" s="95"/>
      <x:c r="B177" s="98"/>
      <x:c r="C177" s="98"/>
      <x:c r="D177" s="98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</x:row>
    <x:row r="178" ht="22" customHeight="1">
      <x:c r="A178" s="95"/>
      <x:c r="B178" s="98"/>
      <x:c r="C178" s="98"/>
      <x:c r="D178" s="98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</x:row>
    <x:row r="179" ht="22" customHeight="1">
      <x:c r="A179" s="95"/>
      <x:c r="B179" s="98"/>
      <x:c r="C179" s="98"/>
      <x:c r="D179" s="98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</x:row>
    <x:row r="180" ht="22" customHeight="1">
      <x:c r="A180" s="95"/>
      <x:c r="B180" s="98"/>
      <x:c r="C180" s="98"/>
      <x:c r="D180" s="98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</x:row>
    <x:row r="181" ht="22" customHeight="1">
      <x:c r="A181" s="95"/>
      <x:c r="B181" s="98"/>
      <x:c r="C181" s="98"/>
      <x:c r="D181" s="98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</x:row>
    <x:row r="182" ht="22" customHeight="1">
      <x:c r="A182" s="95"/>
      <x:c r="B182" s="98"/>
      <x:c r="C182" s="98"/>
      <x:c r="D182" s="98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</x:row>
    <x:row r="183" ht="22" customHeight="1">
      <x:c r="A183" s="95"/>
      <x:c r="B183" s="98"/>
      <x:c r="C183" s="98"/>
      <x:c r="D183" s="98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</x:row>
    <x:row r="184" ht="22" customHeight="1">
      <x:c r="A184" s="95"/>
      <x:c r="B184" s="98"/>
      <x:c r="C184" s="98"/>
      <x:c r="D184" s="98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</x:row>
    <x:row r="185" ht="22" customHeight="1">
      <x:c r="A185" s="95"/>
      <x:c r="B185" s="98"/>
      <x:c r="C185" s="98"/>
      <x:c r="D185" s="98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</x:row>
    <x:row r="186" ht="22" customHeight="1">
      <x:c r="A186" s="95"/>
      <x:c r="B186" s="98"/>
      <x:c r="C186" s="98"/>
      <x:c r="D186" s="98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</x:row>
    <x:row r="187" ht="22" customHeight="1">
      <x:c r="A187" s="95"/>
      <x:c r="B187" s="98"/>
      <x:c r="C187" s="98"/>
      <x:c r="D187" s="98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</x:row>
    <x:row r="188" ht="22" customHeight="1">
      <x:c r="A188" s="95"/>
      <x:c r="B188" s="98"/>
      <x:c r="C188" s="98"/>
      <x:c r="D188" s="98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</x:row>
    <x:row r="189" ht="22" customHeight="1">
      <x:c r="A189" s="95"/>
      <x:c r="B189" s="98"/>
      <x:c r="C189" s="98"/>
      <x:c r="D189" s="98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</x:row>
    <x:row r="190" ht="22" customHeight="1">
      <x:c r="A190" s="95"/>
      <x:c r="B190" s="98"/>
      <x:c r="C190" s="98"/>
      <x:c r="D190" s="98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</x:row>
    <x:row r="191" ht="22" customHeight="1">
      <x:c r="A191" s="95"/>
      <x:c r="B191" s="98"/>
      <x:c r="C191" s="98"/>
      <x:c r="D191" s="98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</x:row>
    <x:row r="192" ht="22" customHeight="1">
      <x:c r="A192" s="95"/>
      <x:c r="B192" s="98"/>
      <x:c r="C192" s="98"/>
      <x:c r="D192" s="98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</x:row>
    <x:row r="193" ht="22" customHeight="1">
      <x:c r="A193" s="95"/>
      <x:c r="B193" s="98"/>
      <x:c r="C193" s="98"/>
      <x:c r="D193" s="98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</x:row>
    <x:row r="194" ht="22" customHeight="1">
      <x:c r="A194" s="95"/>
      <x:c r="B194" s="98"/>
      <x:c r="C194" s="98"/>
      <x:c r="D194" s="98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</x:row>
    <x:row r="195" ht="22" customHeight="1">
      <x:c r="A195" s="95"/>
      <x:c r="B195" s="98"/>
      <x:c r="C195" s="98"/>
      <x:c r="D195" s="98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</x:row>
    <x:row r="196" ht="22" customHeight="1">
      <x:c r="A196" s="95"/>
      <x:c r="B196" s="98"/>
      <x:c r="C196" s="98"/>
      <x:c r="D196" s="98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</x:row>
    <x:row r="197" ht="22" customHeight="1">
      <x:c r="A197" s="95"/>
      <x:c r="B197" s="98"/>
      <x:c r="C197" s="98"/>
      <x:c r="D197" s="98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</x:row>
    <x:row r="198" ht="22" customHeight="1">
      <x:c r="A198" s="95"/>
      <x:c r="B198" s="98"/>
      <x:c r="C198" s="98"/>
      <x:c r="D198" s="98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</x:row>
    <x:row r="199" ht="22" customHeight="1">
      <x:c r="A199" s="95"/>
      <x:c r="B199" s="98"/>
      <x:c r="C199" s="98"/>
      <x:c r="D199" s="98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</x:row>
    <x:row r="200" ht="22" customHeight="1">
      <x:c r="A200" s="95"/>
      <x:c r="B200" s="98"/>
      <x:c r="C200" s="98"/>
      <x:c r="D200" s="98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</x:row>
    <x:row r="201" ht="22" customHeight="1">
      <x:c r="A201" s="95"/>
      <x:c r="B201" s="98"/>
      <x:c r="C201" s="98"/>
      <x:c r="D201" s="98"/>
      <x:c r="E201" s="89"/>
      <x:c r="F201" s="89"/>
      <x:c r="G201" s="89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</x:row>
    <x:row r="202" ht="22" customHeight="1">
      <x:c r="A202" s="95"/>
      <x:c r="B202" s="98"/>
      <x:c r="C202" s="98"/>
      <x:c r="D202" s="98"/>
      <x:c r="E202" s="89"/>
      <x:c r="F202" s="89"/>
      <x:c r="G202" s="89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</x:row>
    <x:row r="203" ht="22" customHeight="1">
      <x:c r="A203" s="95"/>
      <x:c r="B203" s="98"/>
      <x:c r="C203" s="98"/>
      <x:c r="D203" s="98"/>
      <x:c r="E203" s="89"/>
      <x:c r="F203" s="89"/>
      <x:c r="G203" s="89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</x:row>
    <x:row r="204" ht="22" customHeight="1">
      <x:c r="A204" s="95"/>
      <x:c r="B204" s="98"/>
      <x:c r="C204" s="98"/>
      <x:c r="D204" s="98"/>
      <x:c r="E204" s="89"/>
      <x:c r="F204" s="89"/>
      <x:c r="G204" s="89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</x:row>
    <x:row r="205" ht="22" customHeight="1">
      <x:c r="A205" s="96"/>
      <x:c r="B205" s="99"/>
      <x:c r="C205" s="99"/>
      <x:c r="D205" s="99"/>
      <x:c r="E205" s="92"/>
      <x:c r="F205" s="92"/>
      <x:c r="G205" s="92"/>
      <x:c r="H205" s="92"/>
      <x:c r="I205" s="92"/>
      <x:c r="J205" s="92"/>
      <x:c r="K205" s="92"/>
      <x:c r="L205" s="92"/>
      <x:c r="M205" s="92"/>
      <x:c r="N205" s="92"/>
      <x:c r="O205" s="92"/>
      <x:c r="P205" s="92"/>
      <x:c r="Q205" s="92"/>
      <x:c r="R205" s="92"/>
      <x:c r="S205" s="92"/>
      <x:c r="T205" s="92"/>
      <x:c r="U205" s="92"/>
      <x:c r="V205" s="93"/>
    </x:row>
  </x:sheetData>
  <x:dataValidations count="4">
    <x:dataValidation type="list" sqref="Q6:Q205">
      <x:formula1>"pass,fail,hold,not_assessed"</x:formula1>
    </x:dataValidation>
    <x:dataValidation type="list" sqref="R6:R205">
      <x:formula1>"true,false"</x:formula1>
    </x:dataValidation>
    <x:dataValidation type="list" sqref="T6:T205">
      <x:formula1>"true,false"</x:formula1>
    </x:dataValidation>
    <x:dataValidation type="list" sqref="B6:B205">
      <x:formula1>"0,1,2,3,4"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dfd81a4f164325"/>
  </x:tableParts>
</x:worksheet>
</file>

<file path=xl/worksheets/sheet4.xml><?xml version="1.0" encoding="utf-8"?>
<x:worksheet xmlns:x="http://schemas.openxmlformats.org/spreadsheetml/2006/main">
  <x:sheetPr>
    <x:tabColor rgb="FF6C8B72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</x:cols>
  <x:sheetData>
    <x:row r="2">
      <x:c r="A2" s="1" t="str">
        <x:v>Stage decision log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2" t="str">
        <x:v>Record go, hold, or stop decisions for every candidate. Explain every deviation from the preregistered rule.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42" customHeight="1">
      <x:c r="A5" s="9" t="str">
        <x:v>decision_date</x:v>
      </x:c>
      <x:c r="B5" s="20" t="str">
        <x:v>stage</x:v>
      </x:c>
      <x:c r="C5" s="20" t="str">
        <x:v>sample_id</x:v>
      </x:c>
      <x:c r="D5" s="20" t="str">
        <x:v>decision</x:v>
      </x:c>
      <x:c r="E5" s="20" t="str">
        <x:v>primary_endpoint_result</x:v>
      </x:c>
      <x:c r="F5" s="20" t="str">
        <x:v>packaging_gate_result</x:v>
      </x:c>
      <x:c r="G5" s="20" t="str">
        <x:v>target_signal_result</x:v>
      </x:c>
      <x:c r="H5" s="20" t="str">
        <x:v>liver_signal_result</x:v>
      </x:c>
      <x:c r="I5" s="20" t="str">
        <x:v>safety_result</x:v>
      </x:c>
      <x:c r="J5" s="20" t="str">
        <x:v>evidence_location</x:v>
      </x:c>
      <x:c r="K5" s="20" t="str">
        <x:v>decision_maker</x:v>
      </x:c>
      <x:c r="L5" s="20" t="str">
        <x:v>deviation_from_preregistered_rule</x:v>
      </x:c>
      <x:c r="M5" s="10" t="str">
        <x:v>deviation_reason</x:v>
      </x:c>
    </x:row>
    <x:row r="6">
      <x:c r="A6" s="109"/>
      <x:c r="B6" s="97"/>
      <x:c r="C6" s="97"/>
      <x:c r="D6" s="97"/>
      <x:c r="E6" s="101"/>
      <x:c r="F6" s="101"/>
      <x:c r="G6" s="101"/>
      <x:c r="H6" s="101"/>
      <x:c r="I6" s="101"/>
      <x:c r="J6" s="101"/>
      <x:c r="K6" s="101"/>
      <x:c r="L6" s="101"/>
      <x:c r="M6" s="102"/>
    </x:row>
    <x:row r="7">
      <x:c r="A7" s="110"/>
      <x:c r="B7" s="98"/>
      <x:c r="C7" s="98"/>
      <x:c r="D7" s="98"/>
      <x:c r="E7" s="104"/>
      <x:c r="F7" s="104"/>
      <x:c r="G7" s="104"/>
      <x:c r="H7" s="104"/>
      <x:c r="I7" s="104"/>
      <x:c r="J7" s="104"/>
      <x:c r="K7" s="104"/>
      <x:c r="L7" s="104"/>
      <x:c r="M7" s="105"/>
    </x:row>
    <x:row r="8">
      <x:c r="A8" s="110"/>
      <x:c r="B8" s="98"/>
      <x:c r="C8" s="98"/>
      <x:c r="D8" s="98"/>
      <x:c r="E8" s="104"/>
      <x:c r="F8" s="104"/>
      <x:c r="G8" s="104"/>
      <x:c r="H8" s="104"/>
      <x:c r="I8" s="104"/>
      <x:c r="J8" s="104"/>
      <x:c r="K8" s="104"/>
      <x:c r="L8" s="104"/>
      <x:c r="M8" s="105"/>
    </x:row>
    <x:row r="9">
      <x:c r="A9" s="110"/>
      <x:c r="B9" s="98"/>
      <x:c r="C9" s="98"/>
      <x:c r="D9" s="98"/>
      <x:c r="E9" s="104"/>
      <x:c r="F9" s="104"/>
      <x:c r="G9" s="104"/>
      <x:c r="H9" s="104"/>
      <x:c r="I9" s="104"/>
      <x:c r="J9" s="104"/>
      <x:c r="K9" s="104"/>
      <x:c r="L9" s="104"/>
      <x:c r="M9" s="105"/>
    </x:row>
    <x:row r="10">
      <x:c r="A10" s="110"/>
      <x:c r="B10" s="98"/>
      <x:c r="C10" s="98"/>
      <x:c r="D10" s="98"/>
      <x:c r="E10" s="104"/>
      <x:c r="F10" s="104"/>
      <x:c r="G10" s="104"/>
      <x:c r="H10" s="104"/>
      <x:c r="I10" s="104"/>
      <x:c r="J10" s="104"/>
      <x:c r="K10" s="104"/>
      <x:c r="L10" s="104"/>
      <x:c r="M10" s="105"/>
    </x:row>
    <x:row r="11">
      <x:c r="A11" s="110"/>
      <x:c r="B11" s="98"/>
      <x:c r="C11" s="98"/>
      <x:c r="D11" s="98"/>
      <x:c r="E11" s="104"/>
      <x:c r="F11" s="104"/>
      <x:c r="G11" s="104"/>
      <x:c r="H11" s="104"/>
      <x:c r="I11" s="104"/>
      <x:c r="J11" s="104"/>
      <x:c r="K11" s="104"/>
      <x:c r="L11" s="104"/>
      <x:c r="M11" s="105"/>
    </x:row>
    <x:row r="12">
      <x:c r="A12" s="110"/>
      <x:c r="B12" s="98"/>
      <x:c r="C12" s="98"/>
      <x:c r="D12" s="98"/>
      <x:c r="E12" s="104"/>
      <x:c r="F12" s="104"/>
      <x:c r="G12" s="104"/>
      <x:c r="H12" s="104"/>
      <x:c r="I12" s="104"/>
      <x:c r="J12" s="104"/>
      <x:c r="K12" s="104"/>
      <x:c r="L12" s="104"/>
      <x:c r="M12" s="105"/>
    </x:row>
    <x:row r="13">
      <x:c r="A13" s="110"/>
      <x:c r="B13" s="98"/>
      <x:c r="C13" s="98"/>
      <x:c r="D13" s="98"/>
      <x:c r="E13" s="104"/>
      <x:c r="F13" s="104"/>
      <x:c r="G13" s="104"/>
      <x:c r="H13" s="104"/>
      <x:c r="I13" s="104"/>
      <x:c r="J13" s="104"/>
      <x:c r="K13" s="104"/>
      <x:c r="L13" s="104"/>
      <x:c r="M13" s="105"/>
    </x:row>
    <x:row r="14">
      <x:c r="A14" s="110"/>
      <x:c r="B14" s="98"/>
      <x:c r="C14" s="98"/>
      <x:c r="D14" s="98"/>
      <x:c r="E14" s="104"/>
      <x:c r="F14" s="104"/>
      <x:c r="G14" s="104"/>
      <x:c r="H14" s="104"/>
      <x:c r="I14" s="104"/>
      <x:c r="J14" s="104"/>
      <x:c r="K14" s="104"/>
      <x:c r="L14" s="104"/>
      <x:c r="M14" s="105"/>
    </x:row>
    <x:row r="15">
      <x:c r="A15" s="110"/>
      <x:c r="B15" s="98"/>
      <x:c r="C15" s="98"/>
      <x:c r="D15" s="98"/>
      <x:c r="E15" s="104"/>
      <x:c r="F15" s="104"/>
      <x:c r="G15" s="104"/>
      <x:c r="H15" s="104"/>
      <x:c r="I15" s="104"/>
      <x:c r="J15" s="104"/>
      <x:c r="K15" s="104"/>
      <x:c r="L15" s="104"/>
      <x:c r="M15" s="105"/>
    </x:row>
    <x:row r="16">
      <x:c r="A16" s="110"/>
      <x:c r="B16" s="98"/>
      <x:c r="C16" s="98"/>
      <x:c r="D16" s="98"/>
      <x:c r="E16" s="104"/>
      <x:c r="F16" s="104"/>
      <x:c r="G16" s="104"/>
      <x:c r="H16" s="104"/>
      <x:c r="I16" s="104"/>
      <x:c r="J16" s="104"/>
      <x:c r="K16" s="104"/>
      <x:c r="L16" s="104"/>
      <x:c r="M16" s="105"/>
    </x:row>
    <x:row r="17">
      <x:c r="A17" s="110"/>
      <x:c r="B17" s="98"/>
      <x:c r="C17" s="98"/>
      <x:c r="D17" s="98"/>
      <x:c r="E17" s="104"/>
      <x:c r="F17" s="104"/>
      <x:c r="G17" s="104"/>
      <x:c r="H17" s="104"/>
      <x:c r="I17" s="104"/>
      <x:c r="J17" s="104"/>
      <x:c r="K17" s="104"/>
      <x:c r="L17" s="104"/>
      <x:c r="M17" s="105"/>
    </x:row>
    <x:row r="18">
      <x:c r="A18" s="110"/>
      <x:c r="B18" s="98"/>
      <x:c r="C18" s="98"/>
      <x:c r="D18" s="98"/>
      <x:c r="E18" s="104"/>
      <x:c r="F18" s="104"/>
      <x:c r="G18" s="104"/>
      <x:c r="H18" s="104"/>
      <x:c r="I18" s="104"/>
      <x:c r="J18" s="104"/>
      <x:c r="K18" s="104"/>
      <x:c r="L18" s="104"/>
      <x:c r="M18" s="105"/>
    </x:row>
    <x:row r="19">
      <x:c r="A19" s="110"/>
      <x:c r="B19" s="98"/>
      <x:c r="C19" s="98"/>
      <x:c r="D19" s="98"/>
      <x:c r="E19" s="104"/>
      <x:c r="F19" s="104"/>
      <x:c r="G19" s="104"/>
      <x:c r="H19" s="104"/>
      <x:c r="I19" s="104"/>
      <x:c r="J19" s="104"/>
      <x:c r="K19" s="104"/>
      <x:c r="L19" s="104"/>
      <x:c r="M19" s="105"/>
    </x:row>
    <x:row r="20">
      <x:c r="A20" s="110"/>
      <x:c r="B20" s="98"/>
      <x:c r="C20" s="98"/>
      <x:c r="D20" s="98"/>
      <x:c r="E20" s="104"/>
      <x:c r="F20" s="104"/>
      <x:c r="G20" s="104"/>
      <x:c r="H20" s="104"/>
      <x:c r="I20" s="104"/>
      <x:c r="J20" s="104"/>
      <x:c r="K20" s="104"/>
      <x:c r="L20" s="104"/>
      <x:c r="M20" s="105"/>
    </x:row>
    <x:row r="21">
      <x:c r="A21" s="110"/>
      <x:c r="B21" s="98"/>
      <x:c r="C21" s="98"/>
      <x:c r="D21" s="98"/>
      <x:c r="E21" s="104"/>
      <x:c r="F21" s="104"/>
      <x:c r="G21" s="104"/>
      <x:c r="H21" s="104"/>
      <x:c r="I21" s="104"/>
      <x:c r="J21" s="104"/>
      <x:c r="K21" s="104"/>
      <x:c r="L21" s="104"/>
      <x:c r="M21" s="105"/>
    </x:row>
    <x:row r="22">
      <x:c r="A22" s="110"/>
      <x:c r="B22" s="98"/>
      <x:c r="C22" s="98"/>
      <x:c r="D22" s="98"/>
      <x:c r="E22" s="104"/>
      <x:c r="F22" s="104"/>
      <x:c r="G22" s="104"/>
      <x:c r="H22" s="104"/>
      <x:c r="I22" s="104"/>
      <x:c r="J22" s="104"/>
      <x:c r="K22" s="104"/>
      <x:c r="L22" s="104"/>
      <x:c r="M22" s="105"/>
    </x:row>
    <x:row r="23">
      <x:c r="A23" s="110"/>
      <x:c r="B23" s="98"/>
      <x:c r="C23" s="98"/>
      <x:c r="D23" s="98"/>
      <x:c r="E23" s="104"/>
      <x:c r="F23" s="104"/>
      <x:c r="G23" s="104"/>
      <x:c r="H23" s="104"/>
      <x:c r="I23" s="104"/>
      <x:c r="J23" s="104"/>
      <x:c r="K23" s="104"/>
      <x:c r="L23" s="104"/>
      <x:c r="M23" s="105"/>
    </x:row>
    <x:row r="24">
      <x:c r="A24" s="110"/>
      <x:c r="B24" s="98"/>
      <x:c r="C24" s="98"/>
      <x:c r="D24" s="98"/>
      <x:c r="E24" s="104"/>
      <x:c r="F24" s="104"/>
      <x:c r="G24" s="104"/>
      <x:c r="H24" s="104"/>
      <x:c r="I24" s="104"/>
      <x:c r="J24" s="104"/>
      <x:c r="K24" s="104"/>
      <x:c r="L24" s="104"/>
      <x:c r="M24" s="105"/>
    </x:row>
    <x:row r="25">
      <x:c r="A25" s="110"/>
      <x:c r="B25" s="98"/>
      <x:c r="C25" s="98"/>
      <x:c r="D25" s="98"/>
      <x:c r="E25" s="104"/>
      <x:c r="F25" s="104"/>
      <x:c r="G25" s="104"/>
      <x:c r="H25" s="104"/>
      <x:c r="I25" s="104"/>
      <x:c r="J25" s="104"/>
      <x:c r="K25" s="104"/>
      <x:c r="L25" s="104"/>
      <x:c r="M25" s="105"/>
    </x:row>
    <x:row r="26">
      <x:c r="A26" s="110"/>
      <x:c r="B26" s="98"/>
      <x:c r="C26" s="98"/>
      <x:c r="D26" s="98"/>
      <x:c r="E26" s="104"/>
      <x:c r="F26" s="104"/>
      <x:c r="G26" s="104"/>
      <x:c r="H26" s="104"/>
      <x:c r="I26" s="104"/>
      <x:c r="J26" s="104"/>
      <x:c r="K26" s="104"/>
      <x:c r="L26" s="104"/>
      <x:c r="M26" s="105"/>
    </x:row>
    <x:row r="27">
      <x:c r="A27" s="110"/>
      <x:c r="B27" s="98"/>
      <x:c r="C27" s="98"/>
      <x:c r="D27" s="98"/>
      <x:c r="E27" s="104"/>
      <x:c r="F27" s="104"/>
      <x:c r="G27" s="104"/>
      <x:c r="H27" s="104"/>
      <x:c r="I27" s="104"/>
      <x:c r="J27" s="104"/>
      <x:c r="K27" s="104"/>
      <x:c r="L27" s="104"/>
      <x:c r="M27" s="105"/>
    </x:row>
    <x:row r="28">
      <x:c r="A28" s="110"/>
      <x:c r="B28" s="98"/>
      <x:c r="C28" s="98"/>
      <x:c r="D28" s="98"/>
      <x:c r="E28" s="104"/>
      <x:c r="F28" s="104"/>
      <x:c r="G28" s="104"/>
      <x:c r="H28" s="104"/>
      <x:c r="I28" s="104"/>
      <x:c r="J28" s="104"/>
      <x:c r="K28" s="104"/>
      <x:c r="L28" s="104"/>
      <x:c r="M28" s="105"/>
    </x:row>
    <x:row r="29">
      <x:c r="A29" s="110"/>
      <x:c r="B29" s="98"/>
      <x:c r="C29" s="98"/>
      <x:c r="D29" s="98"/>
      <x:c r="E29" s="104"/>
      <x:c r="F29" s="104"/>
      <x:c r="G29" s="104"/>
      <x:c r="H29" s="104"/>
      <x:c r="I29" s="104"/>
      <x:c r="J29" s="104"/>
      <x:c r="K29" s="104"/>
      <x:c r="L29" s="104"/>
      <x:c r="M29" s="105"/>
    </x:row>
    <x:row r="30">
      <x:c r="A30" s="110"/>
      <x:c r="B30" s="98"/>
      <x:c r="C30" s="98"/>
      <x:c r="D30" s="98"/>
      <x:c r="E30" s="104"/>
      <x:c r="F30" s="104"/>
      <x:c r="G30" s="104"/>
      <x:c r="H30" s="104"/>
      <x:c r="I30" s="104"/>
      <x:c r="J30" s="104"/>
      <x:c r="K30" s="104"/>
      <x:c r="L30" s="104"/>
      <x:c r="M30" s="105"/>
    </x:row>
    <x:row r="31">
      <x:c r="A31" s="110"/>
      <x:c r="B31" s="98"/>
      <x:c r="C31" s="98"/>
      <x:c r="D31" s="98"/>
      <x:c r="E31" s="104"/>
      <x:c r="F31" s="104"/>
      <x:c r="G31" s="104"/>
      <x:c r="H31" s="104"/>
      <x:c r="I31" s="104"/>
      <x:c r="J31" s="104"/>
      <x:c r="K31" s="104"/>
      <x:c r="L31" s="104"/>
      <x:c r="M31" s="105"/>
    </x:row>
    <x:row r="32">
      <x:c r="A32" s="110"/>
      <x:c r="B32" s="98"/>
      <x:c r="C32" s="98"/>
      <x:c r="D32" s="98"/>
      <x:c r="E32" s="104"/>
      <x:c r="F32" s="104"/>
      <x:c r="G32" s="104"/>
      <x:c r="H32" s="104"/>
      <x:c r="I32" s="104"/>
      <x:c r="J32" s="104"/>
      <x:c r="K32" s="104"/>
      <x:c r="L32" s="104"/>
      <x:c r="M32" s="105"/>
    </x:row>
    <x:row r="33">
      <x:c r="A33" s="110"/>
      <x:c r="B33" s="98"/>
      <x:c r="C33" s="98"/>
      <x:c r="D33" s="98"/>
      <x:c r="E33" s="104"/>
      <x:c r="F33" s="104"/>
      <x:c r="G33" s="104"/>
      <x:c r="H33" s="104"/>
      <x:c r="I33" s="104"/>
      <x:c r="J33" s="104"/>
      <x:c r="K33" s="104"/>
      <x:c r="L33" s="104"/>
      <x:c r="M33" s="105"/>
    </x:row>
    <x:row r="34">
      <x:c r="A34" s="110"/>
      <x:c r="B34" s="98"/>
      <x:c r="C34" s="98"/>
      <x:c r="D34" s="98"/>
      <x:c r="E34" s="104"/>
      <x:c r="F34" s="104"/>
      <x:c r="G34" s="104"/>
      <x:c r="H34" s="104"/>
      <x:c r="I34" s="104"/>
      <x:c r="J34" s="104"/>
      <x:c r="K34" s="104"/>
      <x:c r="L34" s="104"/>
      <x:c r="M34" s="105"/>
    </x:row>
    <x:row r="35">
      <x:c r="A35" s="110"/>
      <x:c r="B35" s="98"/>
      <x:c r="C35" s="98"/>
      <x:c r="D35" s="98"/>
      <x:c r="E35" s="104"/>
      <x:c r="F35" s="104"/>
      <x:c r="G35" s="104"/>
      <x:c r="H35" s="104"/>
      <x:c r="I35" s="104"/>
      <x:c r="J35" s="104"/>
      <x:c r="K35" s="104"/>
      <x:c r="L35" s="104"/>
      <x:c r="M35" s="105"/>
    </x:row>
    <x:row r="36">
      <x:c r="A36" s="110"/>
      <x:c r="B36" s="98"/>
      <x:c r="C36" s="98"/>
      <x:c r="D36" s="98"/>
      <x:c r="E36" s="104"/>
      <x:c r="F36" s="104"/>
      <x:c r="G36" s="104"/>
      <x:c r="H36" s="104"/>
      <x:c r="I36" s="104"/>
      <x:c r="J36" s="104"/>
      <x:c r="K36" s="104"/>
      <x:c r="L36" s="104"/>
      <x:c r="M36" s="105"/>
    </x:row>
    <x:row r="37">
      <x:c r="A37" s="110"/>
      <x:c r="B37" s="98"/>
      <x:c r="C37" s="98"/>
      <x:c r="D37" s="98"/>
      <x:c r="E37" s="104"/>
      <x:c r="F37" s="104"/>
      <x:c r="G37" s="104"/>
      <x:c r="H37" s="104"/>
      <x:c r="I37" s="104"/>
      <x:c r="J37" s="104"/>
      <x:c r="K37" s="104"/>
      <x:c r="L37" s="104"/>
      <x:c r="M37" s="105"/>
    </x:row>
    <x:row r="38">
      <x:c r="A38" s="110"/>
      <x:c r="B38" s="98"/>
      <x:c r="C38" s="98"/>
      <x:c r="D38" s="98"/>
      <x:c r="E38" s="104"/>
      <x:c r="F38" s="104"/>
      <x:c r="G38" s="104"/>
      <x:c r="H38" s="104"/>
      <x:c r="I38" s="104"/>
      <x:c r="J38" s="104"/>
      <x:c r="K38" s="104"/>
      <x:c r="L38" s="104"/>
      <x:c r="M38" s="105"/>
    </x:row>
    <x:row r="39">
      <x:c r="A39" s="110"/>
      <x:c r="B39" s="98"/>
      <x:c r="C39" s="98"/>
      <x:c r="D39" s="98"/>
      <x:c r="E39" s="104"/>
      <x:c r="F39" s="104"/>
      <x:c r="G39" s="104"/>
      <x:c r="H39" s="104"/>
      <x:c r="I39" s="104"/>
      <x:c r="J39" s="104"/>
      <x:c r="K39" s="104"/>
      <x:c r="L39" s="104"/>
      <x:c r="M39" s="105"/>
    </x:row>
    <x:row r="40">
      <x:c r="A40" s="110"/>
      <x:c r="B40" s="98"/>
      <x:c r="C40" s="98"/>
      <x:c r="D40" s="98"/>
      <x:c r="E40" s="104"/>
      <x:c r="F40" s="104"/>
      <x:c r="G40" s="104"/>
      <x:c r="H40" s="104"/>
      <x:c r="I40" s="104"/>
      <x:c r="J40" s="104"/>
      <x:c r="K40" s="104"/>
      <x:c r="L40" s="104"/>
      <x:c r="M40" s="105"/>
    </x:row>
    <x:row r="41">
      <x:c r="A41" s="110"/>
      <x:c r="B41" s="98"/>
      <x:c r="C41" s="98"/>
      <x:c r="D41" s="98"/>
      <x:c r="E41" s="104"/>
      <x:c r="F41" s="104"/>
      <x:c r="G41" s="104"/>
      <x:c r="H41" s="104"/>
      <x:c r="I41" s="104"/>
      <x:c r="J41" s="104"/>
      <x:c r="K41" s="104"/>
      <x:c r="L41" s="104"/>
      <x:c r="M41" s="105"/>
    </x:row>
    <x:row r="42">
      <x:c r="A42" s="110"/>
      <x:c r="B42" s="98"/>
      <x:c r="C42" s="98"/>
      <x:c r="D42" s="98"/>
      <x:c r="E42" s="104"/>
      <x:c r="F42" s="104"/>
      <x:c r="G42" s="104"/>
      <x:c r="H42" s="104"/>
      <x:c r="I42" s="104"/>
      <x:c r="J42" s="104"/>
      <x:c r="K42" s="104"/>
      <x:c r="L42" s="104"/>
      <x:c r="M42" s="105"/>
    </x:row>
    <x:row r="43">
      <x:c r="A43" s="110"/>
      <x:c r="B43" s="98"/>
      <x:c r="C43" s="98"/>
      <x:c r="D43" s="98"/>
      <x:c r="E43" s="104"/>
      <x:c r="F43" s="104"/>
      <x:c r="G43" s="104"/>
      <x:c r="H43" s="104"/>
      <x:c r="I43" s="104"/>
      <x:c r="J43" s="104"/>
      <x:c r="K43" s="104"/>
      <x:c r="L43" s="104"/>
      <x:c r="M43" s="105"/>
    </x:row>
    <x:row r="44">
      <x:c r="A44" s="110"/>
      <x:c r="B44" s="98"/>
      <x:c r="C44" s="98"/>
      <x:c r="D44" s="98"/>
      <x:c r="E44" s="104"/>
      <x:c r="F44" s="104"/>
      <x:c r="G44" s="104"/>
      <x:c r="H44" s="104"/>
      <x:c r="I44" s="104"/>
      <x:c r="J44" s="104"/>
      <x:c r="K44" s="104"/>
      <x:c r="L44" s="104"/>
      <x:c r="M44" s="105"/>
    </x:row>
    <x:row r="45">
      <x:c r="A45" s="110"/>
      <x:c r="B45" s="98"/>
      <x:c r="C45" s="98"/>
      <x:c r="D45" s="98"/>
      <x:c r="E45" s="104"/>
      <x:c r="F45" s="104"/>
      <x:c r="G45" s="104"/>
      <x:c r="H45" s="104"/>
      <x:c r="I45" s="104"/>
      <x:c r="J45" s="104"/>
      <x:c r="K45" s="104"/>
      <x:c r="L45" s="104"/>
      <x:c r="M45" s="105"/>
    </x:row>
    <x:row r="46">
      <x:c r="A46" s="110"/>
      <x:c r="B46" s="98"/>
      <x:c r="C46" s="98"/>
      <x:c r="D46" s="98"/>
      <x:c r="E46" s="104"/>
      <x:c r="F46" s="104"/>
      <x:c r="G46" s="104"/>
      <x:c r="H46" s="104"/>
      <x:c r="I46" s="104"/>
      <x:c r="J46" s="104"/>
      <x:c r="K46" s="104"/>
      <x:c r="L46" s="104"/>
      <x:c r="M46" s="105"/>
    </x:row>
    <x:row r="47">
      <x:c r="A47" s="110"/>
      <x:c r="B47" s="98"/>
      <x:c r="C47" s="98"/>
      <x:c r="D47" s="98"/>
      <x:c r="E47" s="104"/>
      <x:c r="F47" s="104"/>
      <x:c r="G47" s="104"/>
      <x:c r="H47" s="104"/>
      <x:c r="I47" s="104"/>
      <x:c r="J47" s="104"/>
      <x:c r="K47" s="104"/>
      <x:c r="L47" s="104"/>
      <x:c r="M47" s="105"/>
    </x:row>
    <x:row r="48">
      <x:c r="A48" s="110"/>
      <x:c r="B48" s="98"/>
      <x:c r="C48" s="98"/>
      <x:c r="D48" s="98"/>
      <x:c r="E48" s="104"/>
      <x:c r="F48" s="104"/>
      <x:c r="G48" s="104"/>
      <x:c r="H48" s="104"/>
      <x:c r="I48" s="104"/>
      <x:c r="J48" s="104"/>
      <x:c r="K48" s="104"/>
      <x:c r="L48" s="104"/>
      <x:c r="M48" s="105"/>
    </x:row>
    <x:row r="49">
      <x:c r="A49" s="110"/>
      <x:c r="B49" s="98"/>
      <x:c r="C49" s="98"/>
      <x:c r="D49" s="98"/>
      <x:c r="E49" s="104"/>
      <x:c r="F49" s="104"/>
      <x:c r="G49" s="104"/>
      <x:c r="H49" s="104"/>
      <x:c r="I49" s="104"/>
      <x:c r="J49" s="104"/>
      <x:c r="K49" s="104"/>
      <x:c r="L49" s="104"/>
      <x:c r="M49" s="105"/>
    </x:row>
    <x:row r="50">
      <x:c r="A50" s="110"/>
      <x:c r="B50" s="98"/>
      <x:c r="C50" s="98"/>
      <x:c r="D50" s="98"/>
      <x:c r="E50" s="104"/>
      <x:c r="F50" s="104"/>
      <x:c r="G50" s="104"/>
      <x:c r="H50" s="104"/>
      <x:c r="I50" s="104"/>
      <x:c r="J50" s="104"/>
      <x:c r="K50" s="104"/>
      <x:c r="L50" s="104"/>
      <x:c r="M50" s="105"/>
    </x:row>
    <x:row r="51">
      <x:c r="A51" s="110"/>
      <x:c r="B51" s="98"/>
      <x:c r="C51" s="98"/>
      <x:c r="D51" s="98"/>
      <x:c r="E51" s="104"/>
      <x:c r="F51" s="104"/>
      <x:c r="G51" s="104"/>
      <x:c r="H51" s="104"/>
      <x:c r="I51" s="104"/>
      <x:c r="J51" s="104"/>
      <x:c r="K51" s="104"/>
      <x:c r="L51" s="104"/>
      <x:c r="M51" s="105"/>
    </x:row>
    <x:row r="52">
      <x:c r="A52" s="110"/>
      <x:c r="B52" s="98"/>
      <x:c r="C52" s="98"/>
      <x:c r="D52" s="98"/>
      <x:c r="E52" s="104"/>
      <x:c r="F52" s="104"/>
      <x:c r="G52" s="104"/>
      <x:c r="H52" s="104"/>
      <x:c r="I52" s="104"/>
      <x:c r="J52" s="104"/>
      <x:c r="K52" s="104"/>
      <x:c r="L52" s="104"/>
      <x:c r="M52" s="105"/>
    </x:row>
    <x:row r="53">
      <x:c r="A53" s="110"/>
      <x:c r="B53" s="98"/>
      <x:c r="C53" s="98"/>
      <x:c r="D53" s="98"/>
      <x:c r="E53" s="104"/>
      <x:c r="F53" s="104"/>
      <x:c r="G53" s="104"/>
      <x:c r="H53" s="104"/>
      <x:c r="I53" s="104"/>
      <x:c r="J53" s="104"/>
      <x:c r="K53" s="104"/>
      <x:c r="L53" s="104"/>
      <x:c r="M53" s="105"/>
    </x:row>
    <x:row r="54">
      <x:c r="A54" s="110"/>
      <x:c r="B54" s="98"/>
      <x:c r="C54" s="98"/>
      <x:c r="D54" s="98"/>
      <x:c r="E54" s="104"/>
      <x:c r="F54" s="104"/>
      <x:c r="G54" s="104"/>
      <x:c r="H54" s="104"/>
      <x:c r="I54" s="104"/>
      <x:c r="J54" s="104"/>
      <x:c r="K54" s="104"/>
      <x:c r="L54" s="104"/>
      <x:c r="M54" s="105"/>
    </x:row>
    <x:row r="55">
      <x:c r="A55" s="110"/>
      <x:c r="B55" s="98"/>
      <x:c r="C55" s="98"/>
      <x:c r="D55" s="98"/>
      <x:c r="E55" s="104"/>
      <x:c r="F55" s="104"/>
      <x:c r="G55" s="104"/>
      <x:c r="H55" s="104"/>
      <x:c r="I55" s="104"/>
      <x:c r="J55" s="104"/>
      <x:c r="K55" s="104"/>
      <x:c r="L55" s="104"/>
      <x:c r="M55" s="105"/>
    </x:row>
    <x:row r="56">
      <x:c r="A56" s="110"/>
      <x:c r="B56" s="98"/>
      <x:c r="C56" s="98"/>
      <x:c r="D56" s="98"/>
      <x:c r="E56" s="104"/>
      <x:c r="F56" s="104"/>
      <x:c r="G56" s="104"/>
      <x:c r="H56" s="104"/>
      <x:c r="I56" s="104"/>
      <x:c r="J56" s="104"/>
      <x:c r="K56" s="104"/>
      <x:c r="L56" s="104"/>
      <x:c r="M56" s="105"/>
    </x:row>
    <x:row r="57">
      <x:c r="A57" s="110"/>
      <x:c r="B57" s="98"/>
      <x:c r="C57" s="98"/>
      <x:c r="D57" s="98"/>
      <x:c r="E57" s="104"/>
      <x:c r="F57" s="104"/>
      <x:c r="G57" s="104"/>
      <x:c r="H57" s="104"/>
      <x:c r="I57" s="104"/>
      <x:c r="J57" s="104"/>
      <x:c r="K57" s="104"/>
      <x:c r="L57" s="104"/>
      <x:c r="M57" s="105"/>
    </x:row>
    <x:row r="58">
      <x:c r="A58" s="110"/>
      <x:c r="B58" s="98"/>
      <x:c r="C58" s="98"/>
      <x:c r="D58" s="98"/>
      <x:c r="E58" s="104"/>
      <x:c r="F58" s="104"/>
      <x:c r="G58" s="104"/>
      <x:c r="H58" s="104"/>
      <x:c r="I58" s="104"/>
      <x:c r="J58" s="104"/>
      <x:c r="K58" s="104"/>
      <x:c r="L58" s="104"/>
      <x:c r="M58" s="105"/>
    </x:row>
    <x:row r="59">
      <x:c r="A59" s="110"/>
      <x:c r="B59" s="98"/>
      <x:c r="C59" s="98"/>
      <x:c r="D59" s="98"/>
      <x:c r="E59" s="104"/>
      <x:c r="F59" s="104"/>
      <x:c r="G59" s="104"/>
      <x:c r="H59" s="104"/>
      <x:c r="I59" s="104"/>
      <x:c r="J59" s="104"/>
      <x:c r="K59" s="104"/>
      <x:c r="L59" s="104"/>
      <x:c r="M59" s="105"/>
    </x:row>
    <x:row r="60">
      <x:c r="A60" s="110"/>
      <x:c r="B60" s="98"/>
      <x:c r="C60" s="98"/>
      <x:c r="D60" s="98"/>
      <x:c r="E60" s="104"/>
      <x:c r="F60" s="104"/>
      <x:c r="G60" s="104"/>
      <x:c r="H60" s="104"/>
      <x:c r="I60" s="104"/>
      <x:c r="J60" s="104"/>
      <x:c r="K60" s="104"/>
      <x:c r="L60" s="104"/>
      <x:c r="M60" s="105"/>
    </x:row>
    <x:row r="61">
      <x:c r="A61" s="110"/>
      <x:c r="B61" s="98"/>
      <x:c r="C61" s="98"/>
      <x:c r="D61" s="98"/>
      <x:c r="E61" s="104"/>
      <x:c r="F61" s="104"/>
      <x:c r="G61" s="104"/>
      <x:c r="H61" s="104"/>
      <x:c r="I61" s="104"/>
      <x:c r="J61" s="104"/>
      <x:c r="K61" s="104"/>
      <x:c r="L61" s="104"/>
      <x:c r="M61" s="105"/>
    </x:row>
    <x:row r="62">
      <x:c r="A62" s="110"/>
      <x:c r="B62" s="98"/>
      <x:c r="C62" s="98"/>
      <x:c r="D62" s="98"/>
      <x:c r="E62" s="104"/>
      <x:c r="F62" s="104"/>
      <x:c r="G62" s="104"/>
      <x:c r="H62" s="104"/>
      <x:c r="I62" s="104"/>
      <x:c r="J62" s="104"/>
      <x:c r="K62" s="104"/>
      <x:c r="L62" s="104"/>
      <x:c r="M62" s="105"/>
    </x:row>
    <x:row r="63">
      <x:c r="A63" s="110"/>
      <x:c r="B63" s="98"/>
      <x:c r="C63" s="98"/>
      <x:c r="D63" s="98"/>
      <x:c r="E63" s="104"/>
      <x:c r="F63" s="104"/>
      <x:c r="G63" s="104"/>
      <x:c r="H63" s="104"/>
      <x:c r="I63" s="104"/>
      <x:c r="J63" s="104"/>
      <x:c r="K63" s="104"/>
      <x:c r="L63" s="104"/>
      <x:c r="M63" s="105"/>
    </x:row>
    <x:row r="64">
      <x:c r="A64" s="110"/>
      <x:c r="B64" s="98"/>
      <x:c r="C64" s="98"/>
      <x:c r="D64" s="98"/>
      <x:c r="E64" s="104"/>
      <x:c r="F64" s="104"/>
      <x:c r="G64" s="104"/>
      <x:c r="H64" s="104"/>
      <x:c r="I64" s="104"/>
      <x:c r="J64" s="104"/>
      <x:c r="K64" s="104"/>
      <x:c r="L64" s="104"/>
      <x:c r="M64" s="105"/>
    </x:row>
    <x:row r="65">
      <x:c r="A65" s="110"/>
      <x:c r="B65" s="98"/>
      <x:c r="C65" s="98"/>
      <x:c r="D65" s="98"/>
      <x:c r="E65" s="104"/>
      <x:c r="F65" s="104"/>
      <x:c r="G65" s="104"/>
      <x:c r="H65" s="104"/>
      <x:c r="I65" s="104"/>
      <x:c r="J65" s="104"/>
      <x:c r="K65" s="104"/>
      <x:c r="L65" s="104"/>
      <x:c r="M65" s="105"/>
    </x:row>
    <x:row r="66">
      <x:c r="A66" s="110"/>
      <x:c r="B66" s="98"/>
      <x:c r="C66" s="98"/>
      <x:c r="D66" s="98"/>
      <x:c r="E66" s="104"/>
      <x:c r="F66" s="104"/>
      <x:c r="G66" s="104"/>
      <x:c r="H66" s="104"/>
      <x:c r="I66" s="104"/>
      <x:c r="J66" s="104"/>
      <x:c r="K66" s="104"/>
      <x:c r="L66" s="104"/>
      <x:c r="M66" s="105"/>
    </x:row>
    <x:row r="67">
      <x:c r="A67" s="110"/>
      <x:c r="B67" s="98"/>
      <x:c r="C67" s="98"/>
      <x:c r="D67" s="98"/>
      <x:c r="E67" s="104"/>
      <x:c r="F67" s="104"/>
      <x:c r="G67" s="104"/>
      <x:c r="H67" s="104"/>
      <x:c r="I67" s="104"/>
      <x:c r="J67" s="104"/>
      <x:c r="K67" s="104"/>
      <x:c r="L67" s="104"/>
      <x:c r="M67" s="105"/>
    </x:row>
    <x:row r="68">
      <x:c r="A68" s="110"/>
      <x:c r="B68" s="98"/>
      <x:c r="C68" s="98"/>
      <x:c r="D68" s="98"/>
      <x:c r="E68" s="104"/>
      <x:c r="F68" s="104"/>
      <x:c r="G68" s="104"/>
      <x:c r="H68" s="104"/>
      <x:c r="I68" s="104"/>
      <x:c r="J68" s="104"/>
      <x:c r="K68" s="104"/>
      <x:c r="L68" s="104"/>
      <x:c r="M68" s="105"/>
    </x:row>
    <x:row r="69">
      <x:c r="A69" s="110"/>
      <x:c r="B69" s="98"/>
      <x:c r="C69" s="98"/>
      <x:c r="D69" s="98"/>
      <x:c r="E69" s="104"/>
      <x:c r="F69" s="104"/>
      <x:c r="G69" s="104"/>
      <x:c r="H69" s="104"/>
      <x:c r="I69" s="104"/>
      <x:c r="J69" s="104"/>
      <x:c r="K69" s="104"/>
      <x:c r="L69" s="104"/>
      <x:c r="M69" s="105"/>
    </x:row>
    <x:row r="70">
      <x:c r="A70" s="110"/>
      <x:c r="B70" s="98"/>
      <x:c r="C70" s="98"/>
      <x:c r="D70" s="98"/>
      <x:c r="E70" s="104"/>
      <x:c r="F70" s="104"/>
      <x:c r="G70" s="104"/>
      <x:c r="H70" s="104"/>
      <x:c r="I70" s="104"/>
      <x:c r="J70" s="104"/>
      <x:c r="K70" s="104"/>
      <x:c r="L70" s="104"/>
      <x:c r="M70" s="105"/>
    </x:row>
    <x:row r="71">
      <x:c r="A71" s="110"/>
      <x:c r="B71" s="98"/>
      <x:c r="C71" s="98"/>
      <x:c r="D71" s="98"/>
      <x:c r="E71" s="104"/>
      <x:c r="F71" s="104"/>
      <x:c r="G71" s="104"/>
      <x:c r="H71" s="104"/>
      <x:c r="I71" s="104"/>
      <x:c r="J71" s="104"/>
      <x:c r="K71" s="104"/>
      <x:c r="L71" s="104"/>
      <x:c r="M71" s="105"/>
    </x:row>
    <x:row r="72">
      <x:c r="A72" s="110"/>
      <x:c r="B72" s="98"/>
      <x:c r="C72" s="98"/>
      <x:c r="D72" s="98"/>
      <x:c r="E72" s="104"/>
      <x:c r="F72" s="104"/>
      <x:c r="G72" s="104"/>
      <x:c r="H72" s="104"/>
      <x:c r="I72" s="104"/>
      <x:c r="J72" s="104"/>
      <x:c r="K72" s="104"/>
      <x:c r="L72" s="104"/>
      <x:c r="M72" s="105"/>
    </x:row>
    <x:row r="73">
      <x:c r="A73" s="110"/>
      <x:c r="B73" s="98"/>
      <x:c r="C73" s="98"/>
      <x:c r="D73" s="98"/>
      <x:c r="E73" s="104"/>
      <x:c r="F73" s="104"/>
      <x:c r="G73" s="104"/>
      <x:c r="H73" s="104"/>
      <x:c r="I73" s="104"/>
      <x:c r="J73" s="104"/>
      <x:c r="K73" s="104"/>
      <x:c r="L73" s="104"/>
      <x:c r="M73" s="105"/>
    </x:row>
    <x:row r="74">
      <x:c r="A74" s="110"/>
      <x:c r="B74" s="98"/>
      <x:c r="C74" s="98"/>
      <x:c r="D74" s="98"/>
      <x:c r="E74" s="104"/>
      <x:c r="F74" s="104"/>
      <x:c r="G74" s="104"/>
      <x:c r="H74" s="104"/>
      <x:c r="I74" s="104"/>
      <x:c r="J74" s="104"/>
      <x:c r="K74" s="104"/>
      <x:c r="L74" s="104"/>
      <x:c r="M74" s="105"/>
    </x:row>
    <x:row r="75">
      <x:c r="A75" s="110"/>
      <x:c r="B75" s="98"/>
      <x:c r="C75" s="98"/>
      <x:c r="D75" s="98"/>
      <x:c r="E75" s="104"/>
      <x:c r="F75" s="104"/>
      <x:c r="G75" s="104"/>
      <x:c r="H75" s="104"/>
      <x:c r="I75" s="104"/>
      <x:c r="J75" s="104"/>
      <x:c r="K75" s="104"/>
      <x:c r="L75" s="104"/>
      <x:c r="M75" s="105"/>
    </x:row>
    <x:row r="76">
      <x:c r="A76" s="110"/>
      <x:c r="B76" s="98"/>
      <x:c r="C76" s="98"/>
      <x:c r="D76" s="98"/>
      <x:c r="E76" s="104"/>
      <x:c r="F76" s="104"/>
      <x:c r="G76" s="104"/>
      <x:c r="H76" s="104"/>
      <x:c r="I76" s="104"/>
      <x:c r="J76" s="104"/>
      <x:c r="K76" s="104"/>
      <x:c r="L76" s="104"/>
      <x:c r="M76" s="105"/>
    </x:row>
    <x:row r="77">
      <x:c r="A77" s="110"/>
      <x:c r="B77" s="98"/>
      <x:c r="C77" s="98"/>
      <x:c r="D77" s="98"/>
      <x:c r="E77" s="104"/>
      <x:c r="F77" s="104"/>
      <x:c r="G77" s="104"/>
      <x:c r="H77" s="104"/>
      <x:c r="I77" s="104"/>
      <x:c r="J77" s="104"/>
      <x:c r="K77" s="104"/>
      <x:c r="L77" s="104"/>
      <x:c r="M77" s="105"/>
    </x:row>
    <x:row r="78">
      <x:c r="A78" s="110"/>
      <x:c r="B78" s="98"/>
      <x:c r="C78" s="98"/>
      <x:c r="D78" s="98"/>
      <x:c r="E78" s="104"/>
      <x:c r="F78" s="104"/>
      <x:c r="G78" s="104"/>
      <x:c r="H78" s="104"/>
      <x:c r="I78" s="104"/>
      <x:c r="J78" s="104"/>
      <x:c r="K78" s="104"/>
      <x:c r="L78" s="104"/>
      <x:c r="M78" s="105"/>
    </x:row>
    <x:row r="79">
      <x:c r="A79" s="110"/>
      <x:c r="B79" s="98"/>
      <x:c r="C79" s="98"/>
      <x:c r="D79" s="98"/>
      <x:c r="E79" s="104"/>
      <x:c r="F79" s="104"/>
      <x:c r="G79" s="104"/>
      <x:c r="H79" s="104"/>
      <x:c r="I79" s="104"/>
      <x:c r="J79" s="104"/>
      <x:c r="K79" s="104"/>
      <x:c r="L79" s="104"/>
      <x:c r="M79" s="105"/>
    </x:row>
    <x:row r="80">
      <x:c r="A80" s="110"/>
      <x:c r="B80" s="98"/>
      <x:c r="C80" s="98"/>
      <x:c r="D80" s="98"/>
      <x:c r="E80" s="104"/>
      <x:c r="F80" s="104"/>
      <x:c r="G80" s="104"/>
      <x:c r="H80" s="104"/>
      <x:c r="I80" s="104"/>
      <x:c r="J80" s="104"/>
      <x:c r="K80" s="104"/>
      <x:c r="L80" s="104"/>
      <x:c r="M80" s="105"/>
    </x:row>
    <x:row r="81">
      <x:c r="A81" s="110"/>
      <x:c r="B81" s="98"/>
      <x:c r="C81" s="98"/>
      <x:c r="D81" s="98"/>
      <x:c r="E81" s="104"/>
      <x:c r="F81" s="104"/>
      <x:c r="G81" s="104"/>
      <x:c r="H81" s="104"/>
      <x:c r="I81" s="104"/>
      <x:c r="J81" s="104"/>
      <x:c r="K81" s="104"/>
      <x:c r="L81" s="104"/>
      <x:c r="M81" s="105"/>
    </x:row>
    <x:row r="82">
      <x:c r="A82" s="110"/>
      <x:c r="B82" s="98"/>
      <x:c r="C82" s="98"/>
      <x:c r="D82" s="98"/>
      <x:c r="E82" s="104"/>
      <x:c r="F82" s="104"/>
      <x:c r="G82" s="104"/>
      <x:c r="H82" s="104"/>
      <x:c r="I82" s="104"/>
      <x:c r="J82" s="104"/>
      <x:c r="K82" s="104"/>
      <x:c r="L82" s="104"/>
      <x:c r="M82" s="105"/>
    </x:row>
    <x:row r="83">
      <x:c r="A83" s="110"/>
      <x:c r="B83" s="98"/>
      <x:c r="C83" s="98"/>
      <x:c r="D83" s="98"/>
      <x:c r="E83" s="104"/>
      <x:c r="F83" s="104"/>
      <x:c r="G83" s="104"/>
      <x:c r="H83" s="104"/>
      <x:c r="I83" s="104"/>
      <x:c r="J83" s="104"/>
      <x:c r="K83" s="104"/>
      <x:c r="L83" s="104"/>
      <x:c r="M83" s="105"/>
    </x:row>
    <x:row r="84">
      <x:c r="A84" s="110"/>
      <x:c r="B84" s="98"/>
      <x:c r="C84" s="98"/>
      <x:c r="D84" s="98"/>
      <x:c r="E84" s="104"/>
      <x:c r="F84" s="104"/>
      <x:c r="G84" s="104"/>
      <x:c r="H84" s="104"/>
      <x:c r="I84" s="104"/>
      <x:c r="J84" s="104"/>
      <x:c r="K84" s="104"/>
      <x:c r="L84" s="104"/>
      <x:c r="M84" s="105"/>
    </x:row>
    <x:row r="85">
      <x:c r="A85" s="110"/>
      <x:c r="B85" s="98"/>
      <x:c r="C85" s="98"/>
      <x:c r="D85" s="98"/>
      <x:c r="E85" s="104"/>
      <x:c r="F85" s="104"/>
      <x:c r="G85" s="104"/>
      <x:c r="H85" s="104"/>
      <x:c r="I85" s="104"/>
      <x:c r="J85" s="104"/>
      <x:c r="K85" s="104"/>
      <x:c r="L85" s="104"/>
      <x:c r="M85" s="105"/>
    </x:row>
    <x:row r="86">
      <x:c r="A86" s="110"/>
      <x:c r="B86" s="98"/>
      <x:c r="C86" s="98"/>
      <x:c r="D86" s="98"/>
      <x:c r="E86" s="104"/>
      <x:c r="F86" s="104"/>
      <x:c r="G86" s="104"/>
      <x:c r="H86" s="104"/>
      <x:c r="I86" s="104"/>
      <x:c r="J86" s="104"/>
      <x:c r="K86" s="104"/>
      <x:c r="L86" s="104"/>
      <x:c r="M86" s="105"/>
    </x:row>
    <x:row r="87">
      <x:c r="A87" s="110"/>
      <x:c r="B87" s="98"/>
      <x:c r="C87" s="98"/>
      <x:c r="D87" s="98"/>
      <x:c r="E87" s="104"/>
      <x:c r="F87" s="104"/>
      <x:c r="G87" s="104"/>
      <x:c r="H87" s="104"/>
      <x:c r="I87" s="104"/>
      <x:c r="J87" s="104"/>
      <x:c r="K87" s="104"/>
      <x:c r="L87" s="104"/>
      <x:c r="M87" s="105"/>
    </x:row>
    <x:row r="88">
      <x:c r="A88" s="110"/>
      <x:c r="B88" s="98"/>
      <x:c r="C88" s="98"/>
      <x:c r="D88" s="98"/>
      <x:c r="E88" s="104"/>
      <x:c r="F88" s="104"/>
      <x:c r="G88" s="104"/>
      <x:c r="H88" s="104"/>
      <x:c r="I88" s="104"/>
      <x:c r="J88" s="104"/>
      <x:c r="K88" s="104"/>
      <x:c r="L88" s="104"/>
      <x:c r="M88" s="105"/>
    </x:row>
    <x:row r="89">
      <x:c r="A89" s="110"/>
      <x:c r="B89" s="98"/>
      <x:c r="C89" s="98"/>
      <x:c r="D89" s="98"/>
      <x:c r="E89" s="104"/>
      <x:c r="F89" s="104"/>
      <x:c r="G89" s="104"/>
      <x:c r="H89" s="104"/>
      <x:c r="I89" s="104"/>
      <x:c r="J89" s="104"/>
      <x:c r="K89" s="104"/>
      <x:c r="L89" s="104"/>
      <x:c r="M89" s="105"/>
    </x:row>
    <x:row r="90">
      <x:c r="A90" s="110"/>
      <x:c r="B90" s="98"/>
      <x:c r="C90" s="98"/>
      <x:c r="D90" s="98"/>
      <x:c r="E90" s="104"/>
      <x:c r="F90" s="104"/>
      <x:c r="G90" s="104"/>
      <x:c r="H90" s="104"/>
      <x:c r="I90" s="104"/>
      <x:c r="J90" s="104"/>
      <x:c r="K90" s="104"/>
      <x:c r="L90" s="104"/>
      <x:c r="M90" s="105"/>
    </x:row>
    <x:row r="91">
      <x:c r="A91" s="110"/>
      <x:c r="B91" s="98"/>
      <x:c r="C91" s="98"/>
      <x:c r="D91" s="98"/>
      <x:c r="E91" s="104"/>
      <x:c r="F91" s="104"/>
      <x:c r="G91" s="104"/>
      <x:c r="H91" s="104"/>
      <x:c r="I91" s="104"/>
      <x:c r="J91" s="104"/>
      <x:c r="K91" s="104"/>
      <x:c r="L91" s="104"/>
      <x:c r="M91" s="105"/>
    </x:row>
    <x:row r="92">
      <x:c r="A92" s="110"/>
      <x:c r="B92" s="98"/>
      <x:c r="C92" s="98"/>
      <x:c r="D92" s="98"/>
      <x:c r="E92" s="104"/>
      <x:c r="F92" s="104"/>
      <x:c r="G92" s="104"/>
      <x:c r="H92" s="104"/>
      <x:c r="I92" s="104"/>
      <x:c r="J92" s="104"/>
      <x:c r="K92" s="104"/>
      <x:c r="L92" s="104"/>
      <x:c r="M92" s="105"/>
    </x:row>
    <x:row r="93">
      <x:c r="A93" s="110"/>
      <x:c r="B93" s="98"/>
      <x:c r="C93" s="98"/>
      <x:c r="D93" s="98"/>
      <x:c r="E93" s="104"/>
      <x:c r="F93" s="104"/>
      <x:c r="G93" s="104"/>
      <x:c r="H93" s="104"/>
      <x:c r="I93" s="104"/>
      <x:c r="J93" s="104"/>
      <x:c r="K93" s="104"/>
      <x:c r="L93" s="104"/>
      <x:c r="M93" s="105"/>
    </x:row>
    <x:row r="94">
      <x:c r="A94" s="110"/>
      <x:c r="B94" s="98"/>
      <x:c r="C94" s="98"/>
      <x:c r="D94" s="98"/>
      <x:c r="E94" s="104"/>
      <x:c r="F94" s="104"/>
      <x:c r="G94" s="104"/>
      <x:c r="H94" s="104"/>
      <x:c r="I94" s="104"/>
      <x:c r="J94" s="104"/>
      <x:c r="K94" s="104"/>
      <x:c r="L94" s="104"/>
      <x:c r="M94" s="105"/>
    </x:row>
    <x:row r="95">
      <x:c r="A95" s="110"/>
      <x:c r="B95" s="98"/>
      <x:c r="C95" s="98"/>
      <x:c r="D95" s="98"/>
      <x:c r="E95" s="104"/>
      <x:c r="F95" s="104"/>
      <x:c r="G95" s="104"/>
      <x:c r="H95" s="104"/>
      <x:c r="I95" s="104"/>
      <x:c r="J95" s="104"/>
      <x:c r="K95" s="104"/>
      <x:c r="L95" s="104"/>
      <x:c r="M95" s="105"/>
    </x:row>
    <x:row r="96">
      <x:c r="A96" s="110"/>
      <x:c r="B96" s="98"/>
      <x:c r="C96" s="98"/>
      <x:c r="D96" s="98"/>
      <x:c r="E96" s="104"/>
      <x:c r="F96" s="104"/>
      <x:c r="G96" s="104"/>
      <x:c r="H96" s="104"/>
      <x:c r="I96" s="104"/>
      <x:c r="J96" s="104"/>
      <x:c r="K96" s="104"/>
      <x:c r="L96" s="104"/>
      <x:c r="M96" s="105"/>
    </x:row>
    <x:row r="97">
      <x:c r="A97" s="110"/>
      <x:c r="B97" s="98"/>
      <x:c r="C97" s="98"/>
      <x:c r="D97" s="98"/>
      <x:c r="E97" s="104"/>
      <x:c r="F97" s="104"/>
      <x:c r="G97" s="104"/>
      <x:c r="H97" s="104"/>
      <x:c r="I97" s="104"/>
      <x:c r="J97" s="104"/>
      <x:c r="K97" s="104"/>
      <x:c r="L97" s="104"/>
      <x:c r="M97" s="105"/>
    </x:row>
    <x:row r="98">
      <x:c r="A98" s="110"/>
      <x:c r="B98" s="98"/>
      <x:c r="C98" s="98"/>
      <x:c r="D98" s="98"/>
      <x:c r="E98" s="104"/>
      <x:c r="F98" s="104"/>
      <x:c r="G98" s="104"/>
      <x:c r="H98" s="104"/>
      <x:c r="I98" s="104"/>
      <x:c r="J98" s="104"/>
      <x:c r="K98" s="104"/>
      <x:c r="L98" s="104"/>
      <x:c r="M98" s="105"/>
    </x:row>
    <x:row r="99">
      <x:c r="A99" s="110"/>
      <x:c r="B99" s="98"/>
      <x:c r="C99" s="98"/>
      <x:c r="D99" s="98"/>
      <x:c r="E99" s="104"/>
      <x:c r="F99" s="104"/>
      <x:c r="G99" s="104"/>
      <x:c r="H99" s="104"/>
      <x:c r="I99" s="104"/>
      <x:c r="J99" s="104"/>
      <x:c r="K99" s="104"/>
      <x:c r="L99" s="104"/>
      <x:c r="M99" s="105"/>
    </x:row>
    <x:row r="100">
      <x:c r="A100" s="110"/>
      <x:c r="B100" s="98"/>
      <x:c r="C100" s="98"/>
      <x:c r="D100" s="98"/>
      <x:c r="E100" s="104"/>
      <x:c r="F100" s="104"/>
      <x:c r="G100" s="104"/>
      <x:c r="H100" s="104"/>
      <x:c r="I100" s="104"/>
      <x:c r="J100" s="104"/>
      <x:c r="K100" s="104"/>
      <x:c r="L100" s="104"/>
      <x:c r="M100" s="105"/>
    </x:row>
    <x:row r="101">
      <x:c r="A101" s="110"/>
      <x:c r="B101" s="98"/>
      <x:c r="C101" s="98"/>
      <x:c r="D101" s="98"/>
      <x:c r="E101" s="104"/>
      <x:c r="F101" s="104"/>
      <x:c r="G101" s="104"/>
      <x:c r="H101" s="104"/>
      <x:c r="I101" s="104"/>
      <x:c r="J101" s="104"/>
      <x:c r="K101" s="104"/>
      <x:c r="L101" s="104"/>
      <x:c r="M101" s="105"/>
    </x:row>
    <x:row r="102">
      <x:c r="A102" s="110"/>
      <x:c r="B102" s="98"/>
      <x:c r="C102" s="98"/>
      <x:c r="D102" s="98"/>
      <x:c r="E102" s="104"/>
      <x:c r="F102" s="104"/>
      <x:c r="G102" s="104"/>
      <x:c r="H102" s="104"/>
      <x:c r="I102" s="104"/>
      <x:c r="J102" s="104"/>
      <x:c r="K102" s="104"/>
      <x:c r="L102" s="104"/>
      <x:c r="M102" s="105"/>
    </x:row>
    <x:row r="103">
      <x:c r="A103" s="110"/>
      <x:c r="B103" s="98"/>
      <x:c r="C103" s="98"/>
      <x:c r="D103" s="98"/>
      <x:c r="E103" s="104"/>
      <x:c r="F103" s="104"/>
      <x:c r="G103" s="104"/>
      <x:c r="H103" s="104"/>
      <x:c r="I103" s="104"/>
      <x:c r="J103" s="104"/>
      <x:c r="K103" s="104"/>
      <x:c r="L103" s="104"/>
      <x:c r="M103" s="105"/>
    </x:row>
    <x:row r="104">
      <x:c r="A104" s="110"/>
      <x:c r="B104" s="98"/>
      <x:c r="C104" s="98"/>
      <x:c r="D104" s="98"/>
      <x:c r="E104" s="104"/>
      <x:c r="F104" s="104"/>
      <x:c r="G104" s="104"/>
      <x:c r="H104" s="104"/>
      <x:c r="I104" s="104"/>
      <x:c r="J104" s="104"/>
      <x:c r="K104" s="104"/>
      <x:c r="L104" s="104"/>
      <x:c r="M104" s="105"/>
    </x:row>
    <x:row r="105">
      <x:c r="A105" s="111"/>
      <x:c r="B105" s="99"/>
      <x:c r="C105" s="99"/>
      <x:c r="D105" s="99"/>
      <x:c r="E105" s="107"/>
      <x:c r="F105" s="107"/>
      <x:c r="G105" s="107"/>
      <x:c r="H105" s="107"/>
      <x:c r="I105" s="107"/>
      <x:c r="J105" s="107"/>
      <x:c r="K105" s="107"/>
      <x:c r="L105" s="107"/>
      <x:c r="M105" s="108"/>
    </x:row>
  </x:sheetData>
  <x:dataValidations count="2">
    <x:dataValidation type="list" sqref="D6:D105">
      <x:formula1>"go,hold,stop"</x:formula1>
    </x:dataValidation>
    <x:dataValidation type="list" sqref="L6:L10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05148f5d2e4042"/>
  </x:tableParts>
</x:worksheet>
</file>

<file path=xl/worksheets/sheet5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42" hidden="0" customWidth="1"/>
    <x:col min="4" max="4" width="25" hidden="0" customWidth="1"/>
    <x:col min="5" max="5" width="37" hidden="0" customWidth="1"/>
  </x:cols>
  <x:sheetData>
    <x:row r="2">
      <x:c r="A2" s="1" t="str">
        <x:v>Result-entry data dictionary</x:v>
      </x:c>
      <x:c r="B2" s="1"/>
      <x:c r="C2" s="1"/>
      <x:c r="D2" s="1"/>
      <x:c r="E2" s="1"/>
    </x:row>
    <x:row r="3">
      <x:c r="A3" s="2" t="str">
        <x:v>Required fields make experimental units, batches, exclusions, and normalization traceable.</x:v>
      </x:c>
      <x:c r="B3" s="2"/>
      <x:c r="C3" s="2"/>
      <x:c r="D3" s="2"/>
      <x:c r="E3" s="2"/>
    </x:row>
    <x:row r="4">
      <x:c r="A4" s="3"/>
      <x:c r="B4" s="3"/>
      <x:c r="C4" s="3"/>
      <x:c r="D4" s="3"/>
      <x:c r="E4" s="3"/>
    </x:row>
    <x:row r="5" ht="32" customHeight="1">
      <x:c r="A5" s="112" t="str">
        <x:v>Field</x:v>
      </x:c>
      <x:c r="B5" s="113" t="str">
        <x:v>Required</x:v>
      </x:c>
      <x:c r="C5" s="113" t="str">
        <x:v>Definition</x:v>
      </x:c>
      <x:c r="D5" s="113" t="str">
        <x:v>Example</x:v>
      </x:c>
      <x:c r="E5" s="114" t="str">
        <x:v>Notes</x:v>
      </x:c>
    </x:row>
    <x:row r="6" ht="34" customHeight="1">
      <x:c r="A6" s="115" t="str">
        <x:v>study_id</x:v>
      </x:c>
      <x:c r="B6" s="121" t="str">
        <x:v>Yes</x:v>
      </x:c>
      <x:c r="C6" s="123" t="str">
        <x:v>Frozen study identifier</x:v>
      </x:c>
      <x:c r="D6" s="123" t="str">
        <x:v>S3-MOUSE-001</x:v>
      </x:c>
      <x:c r="E6" s="124" t="str">
        <x:v>One protocol version per study ID</x:v>
      </x:c>
    </x:row>
    <x:row r="7" ht="34" customHeight="1">
      <x:c r="A7" s="115" t="str">
        <x:v>stage</x:v>
      </x:c>
      <x:c r="B7" s="121" t="str">
        <x:v>Yes</x:v>
      </x:c>
      <x:c r="C7" s="123" t="str">
        <x:v>Validation stage 0-4</x:v>
      </x:c>
      <x:c r="D7" s="123" t="str">
        <x:v>3</x:v>
      </x:c>
      <x:c r="E7" s="124" t="str">
        <x:v>Must match the preregistration</x:v>
      </x:c>
    </x:row>
    <x:row r="8" ht="34" customHeight="1">
      <x:c r="A8" s="115" t="str">
        <x:v>sample_id</x:v>
      </x:c>
      <x:c r="B8" s="121" t="str">
        <x:v>Yes</x:v>
      </x:c>
      <x:c r="C8" s="123" t="str">
        <x:v>ID from Candidate Panel</x:v>
      </x:c>
      <x:c r="D8" s="123" t="str">
        <x:v>CAND-001</x:v>
      </x:c>
      <x:c r="E8" s="124" t="str">
        <x:v>Do not enter a sequence as the key</x:v>
      </x:c>
    </x:row>
    <x:row r="9" ht="34" customHeight="1">
      <x:c r="A9" s="115" t="str">
        <x:v>blind_id</x:v>
      </x:c>
      <x:c r="B9" s="121" t="str">
        <x:v>Yes</x:v>
      </x:c>
      <x:c r="C9" s="123" t="str">
        <x:v>Operator-facing blinded identifier</x:v>
      </x:c>
      <x:c r="D9" s="123" t="str">
        <x:v>B-017</x:v>
      </x:c>
      <x:c r="E9" s="124" t="str">
        <x:v>Reveal only after analysis lock</x:v>
      </x:c>
    </x:row>
    <x:row r="10" ht="34" customHeight="1">
      <x:c r="A10" s="115" t="str">
        <x:v>production_batch</x:v>
      </x:c>
      <x:c r="B10" s="121" t="str">
        <x:v>Yes</x:v>
      </x:c>
      <x:c r="C10" s="123" t="str">
        <x:v>Independent vector-production batch</x:v>
      </x:c>
      <x:c r="D10" s="123" t="str">
        <x:v>PB-02</x:v>
      </x:c>
      <x:c r="E10" s="124" t="str">
        <x:v>Not a technical assay repeat</x:v>
      </x:c>
    </x:row>
    <x:row r="11" ht="34" customHeight="1">
      <x:c r="A11" s="115" t="str">
        <x:v>biological_replicate</x:v>
      </x:c>
      <x:c r="B11" s="121" t="str">
        <x:v>Yes</x:v>
      </x:c>
      <x:c r="C11" s="123" t="str">
        <x:v>Independent biological unit</x:v>
      </x:c>
      <x:c r="D11" s="123" t="str">
        <x:v>animal-014</x:v>
      </x:c>
      <x:c r="E11" s="124" t="str">
        <x:v>Animal, donor/differentiation, or batch</x:v>
      </x:c>
    </x:row>
    <x:row r="12" ht="34" customHeight="1">
      <x:c r="A12" s="115" t="str">
        <x:v>technical_replicate</x:v>
      </x:c>
      <x:c r="B12" s="121" t="str">
        <x:v>When used</x:v>
      </x:c>
      <x:c r="C12" s="123" t="str">
        <x:v>Repeated measurement of one biological unit</x:v>
      </x:c>
      <x:c r="D12" s="123" t="str">
        <x:v>well-2</x:v>
      </x:c>
      <x:c r="E12" s="124" t="str">
        <x:v>Does not increase biological n</x:v>
      </x:c>
    </x:row>
    <x:row r="13" ht="34" customHeight="1">
      <x:c r="A13" s="115" t="str">
        <x:v>assay</x:v>
      </x:c>
      <x:c r="B13" s="121" t="str">
        <x:v>Yes</x:v>
      </x:c>
      <x:c r="C13" s="123" t="str">
        <x:v>Validated measurement method</x:v>
      </x:c>
      <x:c r="D13" s="123" t="str">
        <x:v>ddPCR vg/dg</x:v>
      </x:c>
      <x:c r="E13" s="124" t="str">
        <x:v>Link to facility SOP</x:v>
      </x:c>
    </x:row>
    <x:row r="14" ht="34" customHeight="1">
      <x:c r="A14" s="115" t="str">
        <x:v>cell_type_or_tissue</x:v>
      </x:c>
      <x:c r="B14" s="121" t="str">
        <x:v>Yes</x:v>
      </x:c>
      <x:c r="C14" s="123" t="str">
        <x:v>Cell system or sampled tissue</x:v>
      </x:c>
      <x:c r="D14" s="123" t="str">
        <x:v>lumbar spinal cord</x:v>
      </x:c>
      <x:c r="E14" s="124" t="str">
        <x:v>Use controlled naming</x:v>
      </x:c>
    </x:row>
    <x:row r="15" ht="34" customHeight="1">
      <x:c r="A15" s="115" t="str">
        <x:v>timepoint</x:v>
      </x:c>
      <x:c r="B15" s="121" t="str">
        <x:v>Yes</x:v>
      </x:c>
      <x:c r="C15" s="123" t="str">
        <x:v>Time relative to exposure or dosing</x:v>
      </x:c>
      <x:c r="D15" s="123" t="str">
        <x:v>3 weeks</x:v>
      </x:c>
      <x:c r="E15" s="124" t="str">
        <x:v>Keep value and unit clear</x:v>
      </x:c>
    </x:row>
    <x:row r="16" ht="34" customHeight="1">
      <x:c r="A16" s="115" t="str">
        <x:v>dose_value</x:v>
      </x:c>
      <x:c r="B16" s="121" t="str">
        <x:v>When applicable</x:v>
      </x:c>
      <x:c r="C16" s="123" t="str">
        <x:v>Administered or applied dose</x:v>
      </x:c>
      <x:c r="D16" s="123" t="str"/>
      <x:c r="E16" s="124" t="str">
        <x:v>Numeric value only</x:v>
      </x:c>
    </x:row>
    <x:row r="17" ht="34" customHeight="1">
      <x:c r="A17" s="115" t="str">
        <x:v>dose_unit</x:v>
      </x:c>
      <x:c r="B17" s="121" t="str">
        <x:v>When applicable</x:v>
      </x:c>
      <x:c r="C17" s="123" t="str">
        <x:v>Dose denominator and unit</x:v>
      </x:c>
      <x:c r="D17" s="123" t="str">
        <x:v>vg/animal</x:v>
      </x:c>
      <x:c r="E17" s="124" t="str">
        <x:v>Never infer the denominator</x:v>
      </x:c>
    </x:row>
    <x:row r="18" ht="34" customHeight="1">
      <x:c r="A18" s="115" t="str">
        <x:v>raw_value</x:v>
      </x:c>
      <x:c r="B18" s="121" t="str">
        <x:v>Yes</x:v>
      </x:c>
      <x:c r="C18" s="123" t="str">
        <x:v>Unmodified instrument or assay result</x:v>
      </x:c>
      <x:c r="D18" s="123" t="str"/>
      <x:c r="E18" s="124" t="str">
        <x:v>Numeric where possible</x:v>
      </x:c>
    </x:row>
    <x:row r="19" ht="34" customHeight="1">
      <x:c r="A19" s="115" t="str">
        <x:v>raw_unit</x:v>
      </x:c>
      <x:c r="B19" s="121" t="str">
        <x:v>Yes</x:v>
      </x:c>
      <x:c r="C19" s="123" t="str">
        <x:v>Unit of raw value</x:v>
      </x:c>
      <x:c r="D19" s="123" t="str">
        <x:v>copies/uL</x:v>
      </x:c>
      <x:c r="E19" s="124" t="str">
        <x:v>Do not mix units in one column</x:v>
      </x:c>
    </x:row>
    <x:row r="20" ht="34" customHeight="1">
      <x:c r="A20" s="115" t="str">
        <x:v>normalized_value</x:v>
      </x:c>
      <x:c r="B20" s="121" t="str">
        <x:v>When used</x:v>
      </x:c>
      <x:c r="C20" s="123" t="str">
        <x:v>Pre-registered normalized result</x:v>
      </x:c>
      <x:c r="D20" s="123" t="str"/>
      <x:c r="E20" s="124" t="str">
        <x:v>Keep raw value as well</x:v>
      </x:c>
    </x:row>
    <x:row r="21" ht="34" customHeight="1">
      <x:c r="A21" s="115" t="str">
        <x:v>normalized_unit</x:v>
      </x:c>
      <x:c r="B21" s="121" t="str">
        <x:v>When used</x:v>
      </x:c>
      <x:c r="C21" s="123" t="str">
        <x:v>Unit of normalized result</x:v>
      </x:c>
      <x:c r="D21" s="123" t="str">
        <x:v>vg/diploid genome</x:v>
      </x:c>
      <x:c r="E21" s="124" t="str"/>
    </x:row>
    <x:row r="22" ht="34" customHeight="1">
      <x:c r="A22" s="115" t="str">
        <x:v>normalization_reference</x:v>
      </x:c>
      <x:c r="B22" s="121" t="str">
        <x:v>When used</x:v>
      </x:c>
      <x:c r="C22" s="123" t="str">
        <x:v>Denominator or reference</x:v>
      </x:c>
      <x:c r="D22" s="123" t="str">
        <x:v>RPP30</x:v>
      </x:c>
      <x:c r="E22" s="124" t="str">
        <x:v>Include calculation code location</x:v>
      </x:c>
    </x:row>
    <x:row r="23" ht="34" customHeight="1">
      <x:c r="A23" s="115" t="str">
        <x:v>qc_status</x:v>
      </x:c>
      <x:c r="B23" s="121" t="str">
        <x:v>Yes</x:v>
      </x:c>
      <x:c r="C23" s="123" t="str">
        <x:v>Assay-level QC disposition</x:v>
      </x:c>
      <x:c r="D23" s="123" t="str">
        <x:v>pass</x:v>
      </x:c>
      <x:c r="E23" s="124" t="str">
        <x:v>pass, fail, hold, not_assessed</x:v>
      </x:c>
    </x:row>
    <x:row r="24" ht="34" customHeight="1">
      <x:c r="A24" s="115" t="str">
        <x:v>included_in_primary_analysis</x:v>
      </x:c>
      <x:c r="B24" s="121" t="str">
        <x:v>Yes</x:v>
      </x:c>
      <x:c r="C24" s="123" t="str">
        <x:v>Whether the value enters the locked analysis</x:v>
      </x:c>
      <x:c r="D24" s="123" t="str">
        <x:v>true</x:v>
      </x:c>
      <x:c r="E24" s="124" t="str">
        <x:v>Must follow exclusion rules</x:v>
      </x:c>
    </x:row>
    <x:row r="25" ht="34" customHeight="1">
      <x:c r="A25" s="115" t="str">
        <x:v>exclusion_reason</x:v>
      </x:c>
      <x:c r="B25" s="121" t="str">
        <x:v>If excluded</x:v>
      </x:c>
      <x:c r="C25" s="123" t="str">
        <x:v>Pre-specified reason for exclusion</x:v>
      </x:c>
      <x:c r="D25" s="123" t="str">
        <x:v>failed extraction QC</x:v>
      </x:c>
      <x:c r="E25" s="124" t="str">
        <x:v>Never leave unexplained</x:v>
      </x:c>
    </x:row>
    <x:row r="26" ht="34" customHeight="1">
      <x:c r="A26" s="115" t="str">
        <x:v>operator_blinded</x:v>
      </x:c>
      <x:c r="B26" s="121" t="str">
        <x:v>Yes</x:v>
      </x:c>
      <x:c r="C26" s="123" t="str">
        <x:v>Whether operator was blinded</x:v>
      </x:c>
      <x:c r="D26" s="123" t="str">
        <x:v>true</x:v>
      </x:c>
      <x:c r="E26" s="124" t="str">
        <x:v>Record actual state</x:v>
      </x:c>
    </x:row>
    <x:row r="27" ht="34" customHeight="1">
      <x:c r="A27" s="118" t="str">
        <x:v>notes</x:v>
      </x:c>
      <x:c r="B27" s="122" t="str">
        <x:v>Optional</x:v>
      </x:c>
      <x:c r="C27" s="125" t="str">
        <x:v>Relevant observation or deviation reference</x:v>
      </x:c>
      <x:c r="D27" s="125" t="str">
        <x:v>protocol deviation PD-03</x:v>
      </x:c>
      <x:c r="E27" s="126" t="str">
        <x:v>Do not replace structured fields</x:v>
      </x:c>
    </x:row>
  </x:sheetData>
  <x:pageMargins left="0.7" right="0.7" top="0.75" bottom="0.75" header="0.3" footer="0.3"/>
  <x:tableParts count="1">
    <x:tablePart xmlns:r="http://schemas.openxmlformats.org/officeDocument/2006/relationships" r:id="Rf295bd5c32f1419a"/>
  </x:tableParts>
</x:worksheet>
</file>